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69604feffa6fd6/Desktop/Learn Excel/"/>
    </mc:Choice>
  </mc:AlternateContent>
  <xr:revisionPtr revIDLastSave="477" documentId="8_{9E276936-2233-46F6-ABEC-A619D63B53F8}" xr6:coauthVersionLast="47" xr6:coauthVersionMax="47" xr10:uidLastSave="{A911B4C4-3306-4B55-9179-A94D7D346E2D}"/>
  <bookViews>
    <workbookView xWindow="-120" yWindow="-120" windowWidth="20730" windowHeight="11040" firstSheet="2" activeTab="4" xr2:uid="{B4F89F6D-6A35-422B-B657-726E55ABE92B}"/>
  </bookViews>
  <sheets>
    <sheet name="V-lookup" sheetId="1" r:id="rId1"/>
    <sheet name="V-lookup2" sheetId="2" r:id="rId2"/>
    <sheet name="practice sheet" sheetId="5" r:id="rId3"/>
    <sheet name="Vlookup with match" sheetId="3" r:id="rId4"/>
    <sheet name="match and index" sheetId="4" r:id="rId5"/>
    <sheet name="practice match and index" sheetId="6" r:id="rId6"/>
  </sheets>
  <definedNames>
    <definedName name="emp_type">'V-lookup2'!$H$2:$I$8</definedName>
    <definedName name="eptype">'practice sheet'!$K$3:$L$10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6" l="1"/>
  <c r="N5" i="6"/>
  <c r="M7" i="4"/>
  <c r="M6" i="4"/>
  <c r="K5" i="3"/>
  <c r="K4" i="3"/>
  <c r="M3" i="3"/>
  <c r="I4" i="1"/>
  <c r="I5" i="1"/>
  <c r="I6" i="1"/>
  <c r="I3" i="1"/>
  <c r="F3" i="2"/>
  <c r="F4" i="2"/>
  <c r="F5" i="2"/>
  <c r="F6" i="2"/>
  <c r="F7" i="2"/>
  <c r="F8" i="2"/>
  <c r="F9" i="2"/>
  <c r="F10" i="2"/>
  <c r="F11" i="2"/>
  <c r="F12" i="2"/>
  <c r="F13" i="2"/>
  <c r="F3" i="5"/>
  <c r="F4" i="5"/>
  <c r="F5" i="5"/>
  <c r="F6" i="5"/>
  <c r="F7" i="5"/>
  <c r="F8" i="5"/>
  <c r="F9" i="5"/>
  <c r="F10" i="5"/>
  <c r="F11" i="5"/>
  <c r="F12" i="5"/>
  <c r="F13" i="5"/>
  <c r="F2" i="5"/>
  <c r="F2" i="2"/>
  <c r="O2" i="6" l="1" a="1"/>
  <c r="O2" i="6" s="1"/>
  <c r="N2" i="4" a="1"/>
  <c r="N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<sst xmlns="http://schemas.openxmlformats.org/spreadsheetml/2006/main" count="400" uniqueCount="164">
  <si>
    <t>Emp ID</t>
  </si>
  <si>
    <t>Name</t>
  </si>
  <si>
    <t>Department</t>
  </si>
  <si>
    <t>Salary</t>
  </si>
  <si>
    <t>Joining Date</t>
  </si>
  <si>
    <t>John Smith</t>
  </si>
  <si>
    <t>IT</t>
  </si>
  <si>
    <t>$75,000</t>
  </si>
  <si>
    <t>Emily Jones</t>
  </si>
  <si>
    <t>Marketing</t>
  </si>
  <si>
    <t>$62,000</t>
  </si>
  <si>
    <t>David Chen</t>
  </si>
  <si>
    <t>Sales</t>
  </si>
  <si>
    <t>$85,000</t>
  </si>
  <si>
    <t>Sarah Miller</t>
  </si>
  <si>
    <t>Human Resources</t>
  </si>
  <si>
    <t>$58,000</t>
  </si>
  <si>
    <t>Michael Brown</t>
  </si>
  <si>
    <t>Finance</t>
  </si>
  <si>
    <t>$92,000</t>
  </si>
  <si>
    <t>Olivia Davis</t>
  </si>
  <si>
    <t>Operations</t>
  </si>
  <si>
    <t>$68,000</t>
  </si>
  <si>
    <t>Liam Wilson</t>
  </si>
  <si>
    <t>$80,000</t>
  </si>
  <si>
    <t>Ava Garcia</t>
  </si>
  <si>
    <t>$65,000</t>
  </si>
  <si>
    <t>Noah Martinez</t>
  </si>
  <si>
    <t>$90,000</t>
  </si>
  <si>
    <t>Isabella White</t>
  </si>
  <si>
    <t>$60,000</t>
  </si>
  <si>
    <t>Mason Rodriguez</t>
  </si>
  <si>
    <t>$95,000</t>
  </si>
  <si>
    <t>Sophia Lee</t>
  </si>
  <si>
    <t>$72,000</t>
  </si>
  <si>
    <t>Jacob Harris</t>
  </si>
  <si>
    <t>$78,000</t>
  </si>
  <si>
    <t>lookup value ma 102 rakhne</t>
  </si>
  <si>
    <t>here in the formula we did f4 to the formula to make it fixed so that we can drag down</t>
  </si>
  <si>
    <t>we did row as emp 106 is in 7th row</t>
  </si>
  <si>
    <t>Employee ID</t>
  </si>
  <si>
    <t>EMP001</t>
  </si>
  <si>
    <t>Employee_1</t>
  </si>
  <si>
    <t>EMP002</t>
  </si>
  <si>
    <t>Employee_2</t>
  </si>
  <si>
    <t>EMP003</t>
  </si>
  <si>
    <t>Employee_3</t>
  </si>
  <si>
    <t>EMP004</t>
  </si>
  <si>
    <t>Employee_4</t>
  </si>
  <si>
    <t>EMP005</t>
  </si>
  <si>
    <t>Employee_5</t>
  </si>
  <si>
    <t>EMP006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</si>
  <si>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</si>
  <si>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</si>
  <si>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</si>
  <si>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</si>
  <si>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</si>
  <si>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</si>
  <si>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</si>
  <si>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</si>
  <si>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</si>
  <si>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</si>
  <si>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</si>
  <si>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</si>
  <si>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Emp_type</t>
  </si>
  <si>
    <t>Grade1</t>
  </si>
  <si>
    <t>Grade2</t>
  </si>
  <si>
    <t>Grade3</t>
  </si>
  <si>
    <t>Grade4</t>
  </si>
  <si>
    <t>Grade5</t>
  </si>
  <si>
    <t>Grade6</t>
  </si>
  <si>
    <t>these are the conditions and task to define emp type in the table</t>
  </si>
  <si>
    <t>Salary&gt;</t>
  </si>
  <si>
    <t>emp_type</t>
  </si>
  <si>
    <t>here we gave name to right side table as emptype</t>
  </si>
  <si>
    <t xml:space="preserve">note: while using vlookup we must see that the array we </t>
  </si>
  <si>
    <t>are using must be in the ascending order</t>
  </si>
  <si>
    <t>Greater than</t>
  </si>
  <si>
    <t>eemp_type</t>
  </si>
  <si>
    <t xml:space="preserve">column1 </t>
  </si>
  <si>
    <t>column2</t>
  </si>
  <si>
    <t xml:space="preserve"> </t>
  </si>
  <si>
    <t>Class/Subjects</t>
  </si>
  <si>
    <t>8:00 AM - 8:45 AM</t>
  </si>
  <si>
    <t>8:45 AM - 9:30 AM</t>
  </si>
  <si>
    <t>9:30 AM - 10:15 AM</t>
  </si>
  <si>
    <t>10:15 AM - 11:00 AM</t>
  </si>
  <si>
    <t>11:00 AM - 11:15 AM (Break)</t>
  </si>
  <si>
    <t>11:15 AM - 12:00 PM</t>
  </si>
  <si>
    <t>12:00 PM - 12:45 PM</t>
  </si>
  <si>
    <t>12:45 PM - 1:30 PM</t>
  </si>
  <si>
    <t>1:30 PM - 2:15 PM</t>
  </si>
  <si>
    <t>Mathematics</t>
  </si>
  <si>
    <t>Mathematics (Ms. Johnson)</t>
  </si>
  <si>
    <t>Mathematics (Mr. Smith)</t>
  </si>
  <si>
    <t>Mathematics (Mrs. Lee)</t>
  </si>
  <si>
    <t>Mathematics (Mr. Brown)</t>
  </si>
  <si>
    <t>Break</t>
  </si>
  <si>
    <t>Mathematics (Mr. Wilson)</t>
  </si>
  <si>
    <t>Mathematics (Ms. Taylor)</t>
  </si>
  <si>
    <t>Mathematics (Mr. White)</t>
  </si>
  <si>
    <t>Science</t>
  </si>
  <si>
    <t>Science (Mr. Smith)</t>
  </si>
  <si>
    <t>Science (Mrs. Lee)</t>
  </si>
  <si>
    <t>Science (Mr. Brown)</t>
  </si>
  <si>
    <t>Science (Ms. Davis)</t>
  </si>
  <si>
    <t>Science (Ms. Taylor)</t>
  </si>
  <si>
    <t>Science (Mr. White)</t>
  </si>
  <si>
    <t>Science (Ms. Johnson)</t>
  </si>
  <si>
    <t>English</t>
  </si>
  <si>
    <t>English (Mrs. Lee)</t>
  </si>
  <si>
    <t>English (Mr. Brown)</t>
  </si>
  <si>
    <t>English (Ms. Davis)</t>
  </si>
  <si>
    <t>English (Mr. Wilson)</t>
  </si>
  <si>
    <t>English (Mr. White)</t>
  </si>
  <si>
    <t>English (Ms. Johnson)</t>
  </si>
  <si>
    <t>English (Mr. Smith)</t>
  </si>
  <si>
    <t>History</t>
  </si>
  <si>
    <t>History (Mr. Brown)</t>
  </si>
  <si>
    <t>History (Ms. Davis)</t>
  </si>
  <si>
    <t>History (Mr. Wilson)</t>
  </si>
  <si>
    <t>History (Ms. Taylor)</t>
  </si>
  <si>
    <t>History (Ms. Johnson)</t>
  </si>
  <si>
    <t>History (Mr. Smith)</t>
  </si>
  <si>
    <t>History (Mrs. Lee)</t>
  </si>
  <si>
    <t>Geography</t>
  </si>
  <si>
    <t>Geography (Ms. Davis)</t>
  </si>
  <si>
    <t>Geography (Mr. Wilson)</t>
  </si>
  <si>
    <t>Geography (Ms. Taylor)</t>
  </si>
  <si>
    <t>Geography (Mr. White)</t>
  </si>
  <si>
    <t>Geography (Mr. Smith)</t>
  </si>
  <si>
    <t>Geography (Mrs. Lee)</t>
  </si>
  <si>
    <t>Geography (Mr. Brown)</t>
  </si>
  <si>
    <t>Physical Education</t>
  </si>
  <si>
    <t>Physical Education (Mr. Wilson)</t>
  </si>
  <si>
    <t>Physical Education (Ms. Taylor)</t>
  </si>
  <si>
    <t>Physical Education (Mr. White)</t>
  </si>
  <si>
    <t>Physical Education (Ms. Johnson)</t>
  </si>
  <si>
    <t>Physical Education (Mrs. Lee)</t>
  </si>
  <si>
    <t>Physical Education (Mr. Brown)</t>
  </si>
  <si>
    <t>Physical Education (Ms. Davis)</t>
  </si>
  <si>
    <t>Art</t>
  </si>
  <si>
    <t>Art (Ms. Taylor)</t>
  </si>
  <si>
    <t>Art (Mr. White)</t>
  </si>
  <si>
    <t>Art (Ms. Johnson)</t>
  </si>
  <si>
    <t>Art (Mr. Smith)</t>
  </si>
  <si>
    <t>Art (Mr. Brown)</t>
  </si>
  <si>
    <t>Art (Ms. Davis)</t>
  </si>
  <si>
    <t>Art (Mr. Wilson)</t>
  </si>
  <si>
    <t>Computer Science</t>
  </si>
  <si>
    <t>Computer Science (Mr. White)</t>
  </si>
  <si>
    <t>Computer Science (Ms. Johnson)</t>
  </si>
  <si>
    <t>Computer Science (Mr. Smith)</t>
  </si>
  <si>
    <t>Computer Science (Mrs. Lee)</t>
  </si>
  <si>
    <t>Computer Science (Ms. Davis)</t>
  </si>
  <si>
    <t>Computer Science (Mr. Wilson)</t>
  </si>
  <si>
    <t>Computer Science (Ms. Taylor)</t>
  </si>
  <si>
    <t>row</t>
  </si>
  <si>
    <t>colummn</t>
  </si>
  <si>
    <t xml:space="preserve">here our task was to find the professor </t>
  </si>
  <si>
    <t>so inorder to do that we first did data validation to class time</t>
  </si>
  <si>
    <t>subject</t>
  </si>
  <si>
    <t>we find row and column by the help of match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</si>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</sst>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3" tint="0.499984740745262"/>
      <name val="Arial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theme="3" tint="0.499984740745262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83CAEB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9" fontId="4" fillId="0" borderId="1" xfId="1" applyFont="1" applyBorder="1" applyAlignment="1">
      <alignment vertical="center" wrapText="1"/>
    </xf>
    <xf numFmtId="0" fontId="0" fillId="2" borderId="0" xfId="0" applyFill="1"/>
    <xf numFmtId="9" fontId="4" fillId="0" borderId="0" xfId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164" fontId="0" fillId="0" borderId="0" xfId="0" applyNumberFormat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wrapText="1"/>
    </xf>
    <xf numFmtId="4" fontId="0" fillId="0" borderId="3" xfId="0" applyNumberFormat="1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658D-C54F-44C7-A51A-934379FF3C53}">
  <dimension ref="A1:V14"/>
  <sheetViews>
    <sheetView workbookViewId="0">
      <selection activeCell="H10" sqref="H10"/>
    </sheetView>
  </sheetViews>
  <sheetFormatPr defaultRowHeight="15" x14ac:dyDescent="0.25"/>
  <cols>
    <col min="1" max="1" width="10.85546875" customWidth="1"/>
    <col min="2" max="2" width="14.5703125" customWidth="1"/>
    <col min="3" max="3" width="17" customWidth="1"/>
    <col min="4" max="4" width="9.7109375" bestFit="1" customWidth="1"/>
    <col min="5" max="5" width="18.140625" customWidth="1"/>
    <col min="8" max="8" width="21.42578125" customWidth="1"/>
    <col min="9" max="9" width="10.5703125" bestFit="1" customWidth="1"/>
  </cols>
  <sheetData>
    <row r="1" spans="1:22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22" ht="15.75" thickBot="1" x14ac:dyDescent="0.3">
      <c r="A2" s="3">
        <v>101</v>
      </c>
      <c r="B2" s="2" t="s">
        <v>5</v>
      </c>
      <c r="C2" s="2" t="s">
        <v>6</v>
      </c>
      <c r="D2" s="3" t="s">
        <v>7</v>
      </c>
      <c r="E2" s="4">
        <v>44270</v>
      </c>
      <c r="H2" s="5" t="s">
        <v>0</v>
      </c>
      <c r="I2">
        <v>102</v>
      </c>
    </row>
    <row r="3" spans="1:22" ht="15.75" thickBot="1" x14ac:dyDescent="0.3">
      <c r="A3" s="3">
        <v>102</v>
      </c>
      <c r="B3" s="2" t="s">
        <v>8</v>
      </c>
      <c r="C3" s="2" t="s">
        <v>9</v>
      </c>
      <c r="D3" s="3" t="s">
        <v>10</v>
      </c>
      <c r="E3" s="4">
        <v>44034</v>
      </c>
      <c r="H3" s="5" t="s">
        <v>1</v>
      </c>
      <c r="I3" t="str">
        <f>VLOOKUP(I$2,A$1:E$14,ROW()-1,FALSE)</f>
        <v>Emily Jones</v>
      </c>
    </row>
    <row r="4" spans="1:22" ht="15.75" thickBot="1" x14ac:dyDescent="0.3">
      <c r="A4" s="3">
        <v>103</v>
      </c>
      <c r="B4" s="2" t="s">
        <v>11</v>
      </c>
      <c r="C4" s="2" t="s">
        <v>12</v>
      </c>
      <c r="D4" s="3" t="s">
        <v>13</v>
      </c>
      <c r="E4" s="4">
        <v>43779</v>
      </c>
      <c r="H4" s="5" t="s">
        <v>2</v>
      </c>
      <c r="I4" t="str">
        <f t="shared" ref="I4:I6" si="0">VLOOKUP(I$2,A$1:E$14,ROW()-1,FALSE)</f>
        <v>Marketing</v>
      </c>
      <c r="N4" s="6" t="s">
        <v>37</v>
      </c>
      <c r="O4" s="6"/>
      <c r="P4" s="6"/>
    </row>
    <row r="5" spans="1:22" ht="15.75" thickBot="1" x14ac:dyDescent="0.3">
      <c r="A5" s="3">
        <v>104</v>
      </c>
      <c r="B5" s="2" t="s">
        <v>14</v>
      </c>
      <c r="C5" s="2" t="s">
        <v>15</v>
      </c>
      <c r="D5" s="3" t="s">
        <v>16</v>
      </c>
      <c r="E5" s="4">
        <v>44682</v>
      </c>
      <c r="H5" s="5" t="s">
        <v>3</v>
      </c>
      <c r="I5" t="str">
        <f t="shared" si="0"/>
        <v>$62,000</v>
      </c>
    </row>
    <row r="6" spans="1:22" ht="15.75" thickBot="1" x14ac:dyDescent="0.3">
      <c r="A6" s="3">
        <v>105</v>
      </c>
      <c r="B6" s="2" t="s">
        <v>17</v>
      </c>
      <c r="C6" s="2" t="s">
        <v>18</v>
      </c>
      <c r="D6" s="3" t="s">
        <v>19</v>
      </c>
      <c r="E6" s="4">
        <v>43368</v>
      </c>
      <c r="H6" s="5" t="s">
        <v>4</v>
      </c>
      <c r="I6">
        <f t="shared" si="0"/>
        <v>44034</v>
      </c>
    </row>
    <row r="7" spans="1:22" ht="15.75" thickBot="1" x14ac:dyDescent="0.3">
      <c r="A7" s="3">
        <v>106</v>
      </c>
      <c r="B7" s="2" t="s">
        <v>20</v>
      </c>
      <c r="C7" s="2" t="s">
        <v>21</v>
      </c>
      <c r="D7" s="3" t="s">
        <v>22</v>
      </c>
      <c r="E7" s="4">
        <v>44944</v>
      </c>
      <c r="L7" s="6" t="s">
        <v>39</v>
      </c>
      <c r="M7" s="6"/>
      <c r="N7" s="6"/>
      <c r="O7" s="6"/>
    </row>
    <row r="8" spans="1:22" ht="27" thickBot="1" x14ac:dyDescent="0.3">
      <c r="A8" s="3">
        <v>107</v>
      </c>
      <c r="B8" s="2" t="s">
        <v>23</v>
      </c>
      <c r="C8" s="2" t="s">
        <v>6</v>
      </c>
      <c r="D8" s="3" t="s">
        <v>24</v>
      </c>
      <c r="E8" s="4">
        <v>44438</v>
      </c>
    </row>
    <row r="9" spans="1:22" ht="15.75" thickBot="1" x14ac:dyDescent="0.3">
      <c r="A9" s="3">
        <v>108</v>
      </c>
      <c r="B9" s="2" t="s">
        <v>25</v>
      </c>
      <c r="C9" s="2" t="s">
        <v>9</v>
      </c>
      <c r="D9" s="3" t="s">
        <v>26</v>
      </c>
      <c r="E9" s="4">
        <v>43933</v>
      </c>
      <c r="H9" s="7"/>
    </row>
    <row r="10" spans="1:22" ht="27" thickBot="1" x14ac:dyDescent="0.3">
      <c r="A10" s="3">
        <v>109</v>
      </c>
      <c r="B10" s="2" t="s">
        <v>27</v>
      </c>
      <c r="C10" s="2" t="s">
        <v>12</v>
      </c>
      <c r="D10" s="3" t="s">
        <v>28</v>
      </c>
      <c r="E10" s="4">
        <v>43621</v>
      </c>
      <c r="N10" s="6" t="s">
        <v>38</v>
      </c>
      <c r="O10" s="6"/>
      <c r="P10" s="6"/>
      <c r="Q10" s="6"/>
      <c r="R10" s="6"/>
      <c r="S10" s="6"/>
      <c r="T10" s="6"/>
      <c r="U10" s="6"/>
      <c r="V10" s="6"/>
    </row>
    <row r="11" spans="1:22" ht="39.75" thickBot="1" x14ac:dyDescent="0.3">
      <c r="A11" s="3">
        <v>110</v>
      </c>
      <c r="B11" s="2" t="s">
        <v>29</v>
      </c>
      <c r="C11" s="2" t="s">
        <v>15</v>
      </c>
      <c r="D11" s="3" t="s">
        <v>30</v>
      </c>
      <c r="E11" s="4">
        <v>44853</v>
      </c>
    </row>
    <row r="12" spans="1:22" ht="39.75" thickBot="1" x14ac:dyDescent="0.3">
      <c r="A12" s="3">
        <v>111</v>
      </c>
      <c r="B12" s="2" t="s">
        <v>31</v>
      </c>
      <c r="C12" s="2" t="s">
        <v>18</v>
      </c>
      <c r="D12" s="3" t="s">
        <v>32</v>
      </c>
      <c r="E12" s="4">
        <v>43139</v>
      </c>
    </row>
    <row r="13" spans="1:22" ht="27" thickBot="1" x14ac:dyDescent="0.3">
      <c r="A13" s="3">
        <v>112</v>
      </c>
      <c r="B13" s="2" t="s">
        <v>33</v>
      </c>
      <c r="C13" s="2" t="s">
        <v>21</v>
      </c>
      <c r="D13" s="3" t="s">
        <v>34</v>
      </c>
      <c r="E13" s="4">
        <v>44988</v>
      </c>
    </row>
    <row r="14" spans="1:22" ht="27" thickBot="1" x14ac:dyDescent="0.3">
      <c r="A14" s="3">
        <v>113</v>
      </c>
      <c r="B14" s="2" t="s">
        <v>35</v>
      </c>
      <c r="C14" s="2" t="s">
        <v>6</v>
      </c>
      <c r="D14" s="3" t="s">
        <v>36</v>
      </c>
      <c r="E14" s="4">
        <v>44531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51D9-8402-4874-B8D8-981BF42BCFF9}">
  <dimension ref="A1:Q13"/>
  <sheetViews>
    <sheetView workbookViewId="0">
      <selection activeCell="H13" sqref="H13"/>
    </sheetView>
  </sheetViews>
  <sheetFormatPr defaultRowHeight="15" x14ac:dyDescent="0.25"/>
  <cols>
    <col min="1" max="1" width="11.7109375" bestFit="1" customWidth="1"/>
    <col min="2" max="2" width="12.28515625" customWidth="1"/>
    <col min="3" max="3" width="11.28515625" bestFit="1" customWidth="1"/>
    <col min="4" max="4" width="11.85546875" customWidth="1"/>
    <col min="5" max="5" width="11.7109375" bestFit="1" customWidth="1"/>
    <col min="7" max="7" width="27.28515625" customWidth="1"/>
    <col min="8" max="8" width="10.140625" bestFit="1" customWidth="1"/>
  </cols>
  <sheetData>
    <row r="1" spans="1:17" ht="15.75" thickBot="1" x14ac:dyDescent="0.3">
      <c r="A1" s="11" t="s">
        <v>40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73</v>
      </c>
      <c r="H1" s="11" t="s">
        <v>79</v>
      </c>
      <c r="I1" s="11" t="s">
        <v>80</v>
      </c>
    </row>
    <row r="2" spans="1:17" ht="27" thickBot="1" x14ac:dyDescent="0.3">
      <c r="A2" s="8" t="s">
        <v>41</v>
      </c>
      <c r="B2" s="8" t="s">
        <v>42</v>
      </c>
      <c r="C2" s="8" t="s">
        <v>18</v>
      </c>
      <c r="D2" s="13">
        <v>41954</v>
      </c>
      <c r="E2" s="9">
        <v>43831</v>
      </c>
      <c r="F2" s="10" t="str">
        <f t="shared" ref="F2:F13" si="0">VLOOKUP(D2,emp_type,2,TRUE)</f>
        <v>Grade5</v>
      </c>
      <c r="H2" s="2" t="s">
        <v>72</v>
      </c>
      <c r="I2" s="2" t="s">
        <v>64</v>
      </c>
    </row>
    <row r="3" spans="1:17" ht="15.75" thickBot="1" x14ac:dyDescent="0.3">
      <c r="A3" s="8" t="s">
        <v>43</v>
      </c>
      <c r="B3" s="8" t="s">
        <v>44</v>
      </c>
      <c r="C3" s="8" t="s">
        <v>21</v>
      </c>
      <c r="D3" s="13">
        <v>49855</v>
      </c>
      <c r="E3" s="9">
        <v>43832</v>
      </c>
      <c r="F3" s="10" t="str">
        <f t="shared" si="0"/>
        <v>Grade4</v>
      </c>
      <c r="H3" s="14">
        <v>15000</v>
      </c>
      <c r="I3" s="2" t="s">
        <v>70</v>
      </c>
      <c r="K3" s="12" t="s">
        <v>71</v>
      </c>
      <c r="L3" s="12"/>
      <c r="M3" s="12"/>
      <c r="N3" s="12"/>
      <c r="O3" s="12"/>
      <c r="P3" s="12"/>
    </row>
    <row r="4" spans="1:17" ht="15.75" thickBot="1" x14ac:dyDescent="0.3">
      <c r="A4" s="8" t="s">
        <v>45</v>
      </c>
      <c r="B4" s="8" t="s">
        <v>46</v>
      </c>
      <c r="C4" s="8" t="s">
        <v>12</v>
      </c>
      <c r="D4" s="13">
        <v>94210</v>
      </c>
      <c r="E4" s="9">
        <v>43833</v>
      </c>
      <c r="F4" s="10" t="str">
        <f t="shared" si="0"/>
        <v>Grade1</v>
      </c>
      <c r="H4" s="14">
        <v>30000</v>
      </c>
      <c r="I4" s="2" t="s">
        <v>69</v>
      </c>
    </row>
    <row r="5" spans="1:17" ht="15.75" thickBot="1" x14ac:dyDescent="0.3">
      <c r="A5" s="8" t="s">
        <v>47</v>
      </c>
      <c r="B5" s="8" t="s">
        <v>48</v>
      </c>
      <c r="C5" s="8" t="s">
        <v>18</v>
      </c>
      <c r="D5" s="13">
        <v>74689</v>
      </c>
      <c r="E5" s="9">
        <v>43834</v>
      </c>
      <c r="F5" s="10" t="str">
        <f t="shared" si="0"/>
        <v>Grade3</v>
      </c>
      <c r="H5" s="14">
        <v>45000</v>
      </c>
      <c r="I5" s="2" t="s">
        <v>68</v>
      </c>
    </row>
    <row r="6" spans="1:17" ht="15.75" thickBot="1" x14ac:dyDescent="0.3">
      <c r="A6" s="8" t="s">
        <v>49</v>
      </c>
      <c r="B6" s="8" t="s">
        <v>50</v>
      </c>
      <c r="C6" s="8" t="s">
        <v>21</v>
      </c>
      <c r="D6" s="13">
        <v>90652</v>
      </c>
      <c r="E6" s="9">
        <v>43835</v>
      </c>
      <c r="F6" s="10" t="str">
        <f t="shared" si="0"/>
        <v>Grade1</v>
      </c>
      <c r="H6" s="14">
        <v>60000</v>
      </c>
      <c r="I6" s="2" t="s">
        <v>67</v>
      </c>
    </row>
    <row r="7" spans="1:17" ht="15.75" thickBot="1" x14ac:dyDescent="0.3">
      <c r="A7" s="8" t="s">
        <v>51</v>
      </c>
      <c r="B7" s="8" t="s">
        <v>46</v>
      </c>
      <c r="C7" s="8" t="s">
        <v>21</v>
      </c>
      <c r="D7" s="13">
        <v>74820</v>
      </c>
      <c r="E7" s="9">
        <v>43836</v>
      </c>
      <c r="F7" s="10" t="str">
        <f t="shared" si="0"/>
        <v>Grade3</v>
      </c>
      <c r="H7" s="14">
        <v>75000</v>
      </c>
      <c r="I7" s="2" t="s">
        <v>66</v>
      </c>
      <c r="L7" s="12" t="s">
        <v>74</v>
      </c>
      <c r="M7" s="12"/>
      <c r="N7" s="12"/>
      <c r="O7" s="12"/>
      <c r="P7" s="12"/>
    </row>
    <row r="8" spans="1:17" ht="15.75" thickBot="1" x14ac:dyDescent="0.3">
      <c r="A8" s="8" t="s">
        <v>52</v>
      </c>
      <c r="B8" s="8" t="s">
        <v>53</v>
      </c>
      <c r="C8" s="8" t="s">
        <v>12</v>
      </c>
      <c r="D8" s="13">
        <v>85206</v>
      </c>
      <c r="E8" s="9">
        <v>43837</v>
      </c>
      <c r="F8" s="10" t="str">
        <f t="shared" si="0"/>
        <v>Grade2</v>
      </c>
      <c r="H8" s="14">
        <v>90000</v>
      </c>
      <c r="I8" s="2" t="s">
        <v>65</v>
      </c>
    </row>
    <row r="9" spans="1:17" x14ac:dyDescent="0.25">
      <c r="A9" s="8" t="s">
        <v>54</v>
      </c>
      <c r="B9" s="8" t="s">
        <v>55</v>
      </c>
      <c r="C9" s="8" t="s">
        <v>18</v>
      </c>
      <c r="D9" s="13">
        <v>30924</v>
      </c>
      <c r="E9" s="9">
        <v>43838</v>
      </c>
      <c r="F9" s="10" t="str">
        <f t="shared" si="0"/>
        <v>Grade5</v>
      </c>
    </row>
    <row r="10" spans="1:17" x14ac:dyDescent="0.25">
      <c r="A10" s="8" t="s">
        <v>56</v>
      </c>
      <c r="B10" s="8" t="s">
        <v>57</v>
      </c>
      <c r="C10" s="8" t="s">
        <v>21</v>
      </c>
      <c r="D10" s="13">
        <v>57737</v>
      </c>
      <c r="E10" s="9">
        <v>43839</v>
      </c>
      <c r="F10" s="10" t="str">
        <f t="shared" si="0"/>
        <v>Grade4</v>
      </c>
    </row>
    <row r="11" spans="1:17" x14ac:dyDescent="0.25">
      <c r="A11" s="8" t="s">
        <v>58</v>
      </c>
      <c r="B11" s="8" t="s">
        <v>59</v>
      </c>
      <c r="C11" s="8" t="s">
        <v>12</v>
      </c>
      <c r="D11" s="13">
        <v>36000</v>
      </c>
      <c r="E11" s="9">
        <v>43840</v>
      </c>
      <c r="F11" s="10" t="str">
        <f t="shared" si="0"/>
        <v>Grade5</v>
      </c>
      <c r="L11" s="12" t="s">
        <v>75</v>
      </c>
      <c r="M11" s="12"/>
      <c r="N11" s="12"/>
      <c r="O11" s="12"/>
      <c r="P11" s="12"/>
      <c r="Q11" s="12"/>
    </row>
    <row r="12" spans="1:17" x14ac:dyDescent="0.25">
      <c r="A12" s="8" t="s">
        <v>60</v>
      </c>
      <c r="B12" s="8" t="s">
        <v>61</v>
      </c>
      <c r="C12" s="8" t="s">
        <v>12</v>
      </c>
      <c r="D12" s="13">
        <v>96371</v>
      </c>
      <c r="E12" s="9">
        <v>43841</v>
      </c>
      <c r="F12" s="10" t="str">
        <f t="shared" si="0"/>
        <v>Grade1</v>
      </c>
      <c r="L12" s="12" t="s">
        <v>76</v>
      </c>
      <c r="M12" s="12"/>
      <c r="N12" s="12"/>
      <c r="O12" s="12"/>
      <c r="P12" s="12"/>
      <c r="Q12" s="12"/>
    </row>
    <row r="13" spans="1:17" x14ac:dyDescent="0.25">
      <c r="A13" s="8" t="s">
        <v>62</v>
      </c>
      <c r="B13" s="8" t="s">
        <v>63</v>
      </c>
      <c r="C13" s="8" t="s">
        <v>21</v>
      </c>
      <c r="D13" s="13">
        <v>85028</v>
      </c>
      <c r="E13" s="9">
        <v>43842</v>
      </c>
      <c r="F13" s="10" t="str">
        <f t="shared" si="0"/>
        <v>Grade2</v>
      </c>
    </row>
  </sheetData>
  <sortState xmlns:xlrd2="http://schemas.microsoft.com/office/spreadsheetml/2017/richdata2" ref="H3:I8">
    <sortCondition ref="H3:H8" customList="smallest to largest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EB13-7AA5-47F4-889D-DA841FCB2AE6}">
  <dimension ref="A1:L13"/>
  <sheetViews>
    <sheetView topLeftCell="A2" workbookViewId="0">
      <selection activeCell="H5" sqref="H5"/>
    </sheetView>
  </sheetViews>
  <sheetFormatPr defaultRowHeight="15" x14ac:dyDescent="0.25"/>
  <cols>
    <col min="1" max="1" width="12.85546875" customWidth="1"/>
    <col min="2" max="2" width="11.42578125" customWidth="1"/>
    <col min="3" max="3" width="10.85546875" bestFit="1" customWidth="1"/>
    <col min="4" max="4" width="10.7109375" customWidth="1"/>
    <col min="5" max="5" width="14.140625" customWidth="1"/>
    <col min="6" max="6" width="11.5703125" customWidth="1"/>
  </cols>
  <sheetData>
    <row r="1" spans="1:12" ht="30.75" thickBot="1" x14ac:dyDescent="0.3">
      <c r="A1" s="15" t="s">
        <v>40</v>
      </c>
      <c r="B1" s="16" t="s">
        <v>1</v>
      </c>
      <c r="C1" s="16" t="s">
        <v>2</v>
      </c>
      <c r="D1" s="16" t="s">
        <v>3</v>
      </c>
      <c r="E1" s="16" t="s">
        <v>4</v>
      </c>
      <c r="F1" s="23" t="s">
        <v>78</v>
      </c>
    </row>
    <row r="2" spans="1:12" ht="15.75" thickBot="1" x14ac:dyDescent="0.3">
      <c r="A2" s="17" t="s">
        <v>41</v>
      </c>
      <c r="B2" s="18" t="s">
        <v>42</v>
      </c>
      <c r="C2" s="18" t="s">
        <v>18</v>
      </c>
      <c r="D2" s="25">
        <v>41954</v>
      </c>
      <c r="E2" s="19">
        <v>43831</v>
      </c>
      <c r="F2" s="10" t="str">
        <f t="shared" ref="F2:F13" si="0">VLOOKUP(D2,eptype,2,TRUE)</f>
        <v>Grade5</v>
      </c>
    </row>
    <row r="3" spans="1:12" ht="30.75" thickBot="1" x14ac:dyDescent="0.3">
      <c r="A3" s="20" t="s">
        <v>43</v>
      </c>
      <c r="B3" s="21" t="s">
        <v>44</v>
      </c>
      <c r="C3" s="21" t="s">
        <v>21</v>
      </c>
      <c r="D3" s="26">
        <v>49855</v>
      </c>
      <c r="E3" s="22">
        <v>43862</v>
      </c>
      <c r="F3" s="10" t="str">
        <f t="shared" si="0"/>
        <v>Grade4</v>
      </c>
      <c r="K3" s="1" t="s">
        <v>77</v>
      </c>
      <c r="L3" s="1"/>
    </row>
    <row r="4" spans="1:12" ht="30.75" thickBot="1" x14ac:dyDescent="0.3">
      <c r="A4" s="20" t="s">
        <v>45</v>
      </c>
      <c r="B4" s="21" t="s">
        <v>46</v>
      </c>
      <c r="C4" s="21" t="s">
        <v>12</v>
      </c>
      <c r="D4" s="26">
        <v>94210</v>
      </c>
      <c r="E4" s="22">
        <v>43891</v>
      </c>
      <c r="F4" s="10" t="str">
        <f t="shared" si="0"/>
        <v>Grade1</v>
      </c>
      <c r="K4" s="1" t="s">
        <v>3</v>
      </c>
      <c r="L4" s="1" t="s">
        <v>64</v>
      </c>
    </row>
    <row r="5" spans="1:12" ht="15.75" thickBot="1" x14ac:dyDescent="0.3">
      <c r="A5" s="20" t="s">
        <v>47</v>
      </c>
      <c r="B5" s="21" t="s">
        <v>48</v>
      </c>
      <c r="C5" s="21" t="s">
        <v>18</v>
      </c>
      <c r="D5" s="26">
        <v>74689</v>
      </c>
      <c r="E5" s="22">
        <v>43922</v>
      </c>
      <c r="F5" s="10" t="str">
        <f t="shared" si="0"/>
        <v>Grade3</v>
      </c>
      <c r="K5" s="24">
        <v>15000</v>
      </c>
      <c r="L5" s="1" t="s">
        <v>70</v>
      </c>
    </row>
    <row r="6" spans="1:12" ht="15.75" thickBot="1" x14ac:dyDescent="0.3">
      <c r="A6" s="20" t="s">
        <v>49</v>
      </c>
      <c r="B6" s="21" t="s">
        <v>50</v>
      </c>
      <c r="C6" s="21" t="s">
        <v>21</v>
      </c>
      <c r="D6" s="26">
        <v>90652</v>
      </c>
      <c r="E6" s="22">
        <v>43952</v>
      </c>
      <c r="F6" s="10" t="str">
        <f t="shared" si="0"/>
        <v>Grade1</v>
      </c>
      <c r="K6" s="24">
        <v>30000</v>
      </c>
      <c r="L6" s="1" t="s">
        <v>69</v>
      </c>
    </row>
    <row r="7" spans="1:12" ht="15.75" thickBot="1" x14ac:dyDescent="0.3">
      <c r="A7" s="20" t="s">
        <v>51</v>
      </c>
      <c r="B7" s="21" t="s">
        <v>46</v>
      </c>
      <c r="C7" s="21" t="s">
        <v>21</v>
      </c>
      <c r="D7" s="26">
        <v>74820</v>
      </c>
      <c r="E7" s="22">
        <v>43983</v>
      </c>
      <c r="F7" s="10" t="str">
        <f t="shared" si="0"/>
        <v>Grade3</v>
      </c>
      <c r="K7" s="24">
        <v>45000</v>
      </c>
      <c r="L7" s="1" t="s">
        <v>68</v>
      </c>
    </row>
    <row r="8" spans="1:12" ht="15.75" thickBot="1" x14ac:dyDescent="0.3">
      <c r="A8" s="20" t="s">
        <v>52</v>
      </c>
      <c r="B8" s="21" t="s">
        <v>53</v>
      </c>
      <c r="C8" s="21" t="s">
        <v>12</v>
      </c>
      <c r="D8" s="26">
        <v>85206</v>
      </c>
      <c r="E8" s="22">
        <v>44013</v>
      </c>
      <c r="F8" s="10" t="str">
        <f t="shared" si="0"/>
        <v>Grade2</v>
      </c>
      <c r="K8" s="24">
        <v>60000</v>
      </c>
      <c r="L8" s="1" t="s">
        <v>67</v>
      </c>
    </row>
    <row r="9" spans="1:12" ht="15.75" thickBot="1" x14ac:dyDescent="0.3">
      <c r="A9" s="20" t="s">
        <v>54</v>
      </c>
      <c r="B9" s="21" t="s">
        <v>55</v>
      </c>
      <c r="C9" s="21" t="s">
        <v>18</v>
      </c>
      <c r="D9" s="26">
        <v>30924</v>
      </c>
      <c r="E9" s="22">
        <v>44044</v>
      </c>
      <c r="F9" s="10" t="str">
        <f t="shared" si="0"/>
        <v>Grade5</v>
      </c>
      <c r="K9" s="24">
        <v>75000</v>
      </c>
      <c r="L9" s="1" t="s">
        <v>66</v>
      </c>
    </row>
    <row r="10" spans="1:12" ht="15.75" thickBot="1" x14ac:dyDescent="0.3">
      <c r="A10" s="20" t="s">
        <v>56</v>
      </c>
      <c r="B10" s="21" t="s">
        <v>57</v>
      </c>
      <c r="C10" s="21" t="s">
        <v>21</v>
      </c>
      <c r="D10" s="26">
        <v>57737</v>
      </c>
      <c r="E10" s="22">
        <v>44075</v>
      </c>
      <c r="F10" s="10" t="str">
        <f t="shared" si="0"/>
        <v>Grade4</v>
      </c>
      <c r="K10" s="24">
        <v>90000</v>
      </c>
      <c r="L10" s="1" t="s">
        <v>65</v>
      </c>
    </row>
    <row r="11" spans="1:12" ht="30.75" thickBot="1" x14ac:dyDescent="0.3">
      <c r="A11" s="20" t="s">
        <v>58</v>
      </c>
      <c r="B11" s="21" t="s">
        <v>59</v>
      </c>
      <c r="C11" s="21" t="s">
        <v>12</v>
      </c>
      <c r="D11" s="26">
        <v>36000</v>
      </c>
      <c r="E11" s="22">
        <v>44105</v>
      </c>
      <c r="F11" s="10" t="str">
        <f t="shared" si="0"/>
        <v>Grade5</v>
      </c>
    </row>
    <row r="12" spans="1:12" ht="30.75" thickBot="1" x14ac:dyDescent="0.3">
      <c r="A12" s="20" t="s">
        <v>60</v>
      </c>
      <c r="B12" s="21" t="s">
        <v>61</v>
      </c>
      <c r="C12" s="21" t="s">
        <v>12</v>
      </c>
      <c r="D12" s="26">
        <v>96371</v>
      </c>
      <c r="E12" s="22">
        <v>44136</v>
      </c>
      <c r="F12" s="10" t="str">
        <f t="shared" si="0"/>
        <v>Grade1</v>
      </c>
    </row>
    <row r="13" spans="1:12" ht="30.75" thickBot="1" x14ac:dyDescent="0.3">
      <c r="A13" s="20" t="s">
        <v>62</v>
      </c>
      <c r="B13" s="21" t="s">
        <v>63</v>
      </c>
      <c r="C13" s="21" t="s">
        <v>21</v>
      </c>
      <c r="D13" s="26">
        <v>85028</v>
      </c>
      <c r="E13" s="22">
        <v>44166</v>
      </c>
      <c r="F13" s="10" t="str">
        <f t="shared" si="0"/>
        <v>Grade2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9400-8E80-4149-9F32-C6D1E7EBC0DF}">
  <dimension ref="A1:M14"/>
  <sheetViews>
    <sheetView workbookViewId="0">
      <selection activeCell="K4" sqref="K4:K5"/>
    </sheetView>
  </sheetViews>
  <sheetFormatPr defaultRowHeight="15" x14ac:dyDescent="0.25"/>
  <cols>
    <col min="1" max="1" width="7.42578125" bestFit="1" customWidth="1"/>
    <col min="2" max="2" width="15.140625" customWidth="1"/>
    <col min="3" max="3" width="12.42578125" customWidth="1"/>
    <col min="4" max="4" width="10.7109375" customWidth="1"/>
    <col min="5" max="5" width="12.42578125" bestFit="1" customWidth="1"/>
    <col min="10" max="10" width="12" customWidth="1"/>
    <col min="11" max="11" width="11.7109375" customWidth="1"/>
  </cols>
  <sheetData>
    <row r="1" spans="1:13" ht="26.2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13" ht="15.75" thickBot="1" x14ac:dyDescent="0.3">
      <c r="A2" s="3">
        <v>101</v>
      </c>
      <c r="B2" s="2" t="s">
        <v>5</v>
      </c>
      <c r="C2" s="2" t="s">
        <v>6</v>
      </c>
      <c r="D2" s="3" t="s">
        <v>7</v>
      </c>
      <c r="E2" s="4">
        <v>44270</v>
      </c>
    </row>
    <row r="3" spans="1:13" ht="15.75" thickBot="1" x14ac:dyDescent="0.3">
      <c r="A3" s="3">
        <v>102</v>
      </c>
      <c r="B3" s="2" t="s">
        <v>8</v>
      </c>
      <c r="C3" s="2" t="s">
        <v>9</v>
      </c>
      <c r="D3" s="3" t="s">
        <v>10</v>
      </c>
      <c r="E3" s="4">
        <v>44034</v>
      </c>
      <c r="J3" s="5" t="s">
        <v>0</v>
      </c>
      <c r="K3">
        <v>102</v>
      </c>
      <c r="M3">
        <f>ROW()</f>
        <v>3</v>
      </c>
    </row>
    <row r="4" spans="1:13" ht="15.75" thickBot="1" x14ac:dyDescent="0.3">
      <c r="A4" s="3">
        <v>103</v>
      </c>
      <c r="B4" s="2" t="s">
        <v>11</v>
      </c>
      <c r="C4" s="2" t="s">
        <v>12</v>
      </c>
      <c r="D4" s="3" t="s">
        <v>13</v>
      </c>
      <c r="E4" s="4">
        <v>43779</v>
      </c>
      <c r="J4" s="5" t="s">
        <v>1</v>
      </c>
      <c r="K4" t="str">
        <f>VLOOKUP($K3,$A$1:$E$14,ROW()-1,FALSE)</f>
        <v>Marketing</v>
      </c>
    </row>
    <row r="5" spans="1:13" ht="27" thickBot="1" x14ac:dyDescent="0.3">
      <c r="A5" s="3">
        <v>104</v>
      </c>
      <c r="B5" s="2" t="s">
        <v>14</v>
      </c>
      <c r="C5" s="2" t="s">
        <v>15</v>
      </c>
      <c r="D5" s="3" t="s">
        <v>16</v>
      </c>
      <c r="E5" s="4">
        <v>44682</v>
      </c>
      <c r="J5" s="5" t="s">
        <v>2</v>
      </c>
      <c r="K5" t="e">
        <f>VLOOKUP($K4,$A$1:$E$14,ROW()-1,FALSE)</f>
        <v>#N/A</v>
      </c>
      <c r="L5" t="s">
        <v>81</v>
      </c>
    </row>
    <row r="6" spans="1:13" ht="15.75" thickBot="1" x14ac:dyDescent="0.3">
      <c r="A6" s="3">
        <v>105</v>
      </c>
      <c r="B6" s="2" t="s">
        <v>17</v>
      </c>
      <c r="C6" s="2" t="s">
        <v>18</v>
      </c>
      <c r="D6" s="3" t="s">
        <v>19</v>
      </c>
      <c r="E6" s="4">
        <v>43368</v>
      </c>
    </row>
    <row r="7" spans="1:13" ht="27" thickBot="1" x14ac:dyDescent="0.3">
      <c r="A7" s="3">
        <v>106</v>
      </c>
      <c r="B7" s="2" t="s">
        <v>20</v>
      </c>
      <c r="C7" s="2" t="s">
        <v>21</v>
      </c>
      <c r="D7" s="3" t="s">
        <v>22</v>
      </c>
      <c r="E7" s="4">
        <v>44944</v>
      </c>
    </row>
    <row r="8" spans="1:13" ht="27" thickBot="1" x14ac:dyDescent="0.3">
      <c r="A8" s="3">
        <v>107</v>
      </c>
      <c r="B8" s="2" t="s">
        <v>23</v>
      </c>
      <c r="C8" s="2" t="s">
        <v>6</v>
      </c>
      <c r="D8" s="3" t="s">
        <v>24</v>
      </c>
      <c r="E8" s="4">
        <v>44438</v>
      </c>
    </row>
    <row r="9" spans="1:13" ht="27" thickBot="1" x14ac:dyDescent="0.3">
      <c r="A9" s="3">
        <v>108</v>
      </c>
      <c r="B9" s="2" t="s">
        <v>25</v>
      </c>
      <c r="C9" s="2" t="s">
        <v>9</v>
      </c>
      <c r="D9" s="3" t="s">
        <v>26</v>
      </c>
      <c r="E9" s="4">
        <v>43933</v>
      </c>
    </row>
    <row r="10" spans="1:13" ht="27" thickBot="1" x14ac:dyDescent="0.3">
      <c r="A10" s="3">
        <v>109</v>
      </c>
      <c r="B10" s="2" t="s">
        <v>27</v>
      </c>
      <c r="C10" s="2" t="s">
        <v>12</v>
      </c>
      <c r="D10" s="3" t="s">
        <v>28</v>
      </c>
      <c r="E10" s="4">
        <v>43621</v>
      </c>
    </row>
    <row r="11" spans="1:13" ht="39.75" thickBot="1" x14ac:dyDescent="0.3">
      <c r="A11" s="3">
        <v>110</v>
      </c>
      <c r="B11" s="2" t="s">
        <v>29</v>
      </c>
      <c r="C11" s="2" t="s">
        <v>15</v>
      </c>
      <c r="D11" s="3" t="s">
        <v>30</v>
      </c>
      <c r="E11" s="4">
        <v>44853</v>
      </c>
    </row>
    <row r="12" spans="1:13" ht="39.75" thickBot="1" x14ac:dyDescent="0.3">
      <c r="A12" s="3">
        <v>111</v>
      </c>
      <c r="B12" s="2" t="s">
        <v>31</v>
      </c>
      <c r="C12" s="2" t="s">
        <v>18</v>
      </c>
      <c r="D12" s="3" t="s">
        <v>32</v>
      </c>
      <c r="E12" s="4">
        <v>43139</v>
      </c>
    </row>
    <row r="13" spans="1:13" ht="15.75" thickBot="1" x14ac:dyDescent="0.3">
      <c r="A13" s="3">
        <v>112</v>
      </c>
      <c r="B13" s="2" t="s">
        <v>33</v>
      </c>
      <c r="C13" s="2" t="s">
        <v>21</v>
      </c>
      <c r="D13" s="3" t="s">
        <v>34</v>
      </c>
      <c r="E13" s="4">
        <v>44988</v>
      </c>
    </row>
    <row r="14" spans="1:13" ht="15.75" thickBot="1" x14ac:dyDescent="0.3">
      <c r="A14" s="3">
        <v>113</v>
      </c>
      <c r="B14" s="2" t="s">
        <v>35</v>
      </c>
      <c r="C14" s="2" t="s">
        <v>6</v>
      </c>
      <c r="D14" s="3" t="s">
        <v>36</v>
      </c>
      <c r="E14" s="4">
        <v>44531</v>
      </c>
    </row>
  </sheetData>
  <dataValidations count="1">
    <dataValidation type="list" allowBlank="1" showInputMessage="1" showErrorMessage="1" sqref="K3" xr:uid="{FBA04FD7-B9D4-4D3F-A8D2-0E9668BA43E5}">
      <formula1>$A$2:$A$14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C6B5-77CF-4C51-BDE9-15DF53A33CD6}">
  <dimension ref="A1:U9"/>
  <sheetViews>
    <sheetView tabSelected="1" zoomScale="98" workbookViewId="0">
      <selection activeCell="M7" sqref="M7"/>
    </sheetView>
  </sheetViews>
  <sheetFormatPr defaultRowHeight="15" x14ac:dyDescent="0.25"/>
  <cols>
    <col min="1" max="1" width="14.7109375" bestFit="1" customWidth="1"/>
    <col min="2" max="3" width="12.85546875" bestFit="1" customWidth="1"/>
    <col min="4" max="4" width="9.5703125" bestFit="1" customWidth="1"/>
    <col min="5" max="5" width="10.140625" bestFit="1" customWidth="1"/>
    <col min="6" max="6" width="15" customWidth="1"/>
    <col min="7" max="7" width="9.85546875" bestFit="1" customWidth="1"/>
    <col min="8" max="8" width="15" bestFit="1" customWidth="1"/>
    <col min="9" max="9" width="10.140625" bestFit="1" customWidth="1"/>
    <col min="10" max="10" width="9.42578125" bestFit="1" customWidth="1"/>
    <col min="12" max="12" width="9.140625" customWidth="1"/>
    <col min="13" max="13" width="17.42578125" customWidth="1"/>
    <col min="14" max="14" width="18.85546875" customWidth="1"/>
  </cols>
  <sheetData>
    <row r="1" spans="1:21" ht="45.75" customHeight="1" thickBot="1" x14ac:dyDescent="0.3">
      <c r="A1" s="29" t="s">
        <v>82</v>
      </c>
      <c r="B1" s="30" t="s">
        <v>83</v>
      </c>
      <c r="C1" s="30" t="s">
        <v>84</v>
      </c>
      <c r="D1" s="30" t="s">
        <v>85</v>
      </c>
      <c r="E1" s="30" t="s">
        <v>86</v>
      </c>
      <c r="F1" s="30" t="s">
        <v>87</v>
      </c>
      <c r="G1" s="30" t="s">
        <v>88</v>
      </c>
      <c r="H1" s="30" t="s">
        <v>89</v>
      </c>
      <c r="I1" s="30" t="s">
        <v>90</v>
      </c>
      <c r="J1" s="30" t="s">
        <v>91</v>
      </c>
      <c r="M1" s="27" t="s">
        <v>82</v>
      </c>
      <c r="N1" s="30" t="s">
        <v>83</v>
      </c>
      <c r="P1" t="s">
        <v>159</v>
      </c>
    </row>
    <row r="2" spans="1:21" ht="36.75" thickBot="1" x14ac:dyDescent="0.35">
      <c r="A2" s="28" t="s">
        <v>92</v>
      </c>
      <c r="B2" s="28" t="s">
        <v>93</v>
      </c>
      <c r="C2" s="28" t="s">
        <v>94</v>
      </c>
      <c r="D2" s="28" t="s">
        <v>95</v>
      </c>
      <c r="E2" s="28" t="s">
        <v>96</v>
      </c>
      <c r="F2" s="28" t="s">
        <v>97</v>
      </c>
      <c r="G2" s="28" t="s">
        <v>98</v>
      </c>
      <c r="H2" s="28" t="s">
        <v>99</v>
      </c>
      <c r="I2" s="28" t="s">
        <v>100</v>
      </c>
      <c r="J2" s="28" t="s">
        <v>93</v>
      </c>
      <c r="M2" s="10" t="s">
        <v>92</v>
      </c>
      <c r="N2" t="str" cm="1">
        <f t="array" ref="N2">INDEX(A1:J9,M6,M7)</f>
        <v>Class/Subjects</v>
      </c>
      <c r="P2" s="32" t="s">
        <v>160</v>
      </c>
      <c r="Q2" s="32"/>
      <c r="R2" s="32"/>
      <c r="S2" s="32"/>
      <c r="T2" s="32"/>
      <c r="U2" s="32"/>
    </row>
    <row r="3" spans="1:21" ht="36.75" thickBot="1" x14ac:dyDescent="0.35">
      <c r="A3" s="28" t="s">
        <v>101</v>
      </c>
      <c r="B3" s="28" t="s">
        <v>102</v>
      </c>
      <c r="C3" s="28" t="s">
        <v>103</v>
      </c>
      <c r="D3" s="28" t="s">
        <v>104</v>
      </c>
      <c r="E3" s="28" t="s">
        <v>105</v>
      </c>
      <c r="F3" s="28" t="s">
        <v>97</v>
      </c>
      <c r="G3" s="28" t="s">
        <v>106</v>
      </c>
      <c r="H3" s="28" t="s">
        <v>107</v>
      </c>
      <c r="I3" s="28" t="s">
        <v>108</v>
      </c>
      <c r="J3" s="28" t="s">
        <v>102</v>
      </c>
      <c r="P3" s="32" t="s">
        <v>161</v>
      </c>
      <c r="Q3" s="32"/>
      <c r="R3" s="32"/>
      <c r="S3" s="32"/>
      <c r="T3" s="32"/>
      <c r="U3" s="32"/>
    </row>
    <row r="4" spans="1:21" ht="24.75" thickBot="1" x14ac:dyDescent="0.35">
      <c r="A4" s="28" t="s">
        <v>109</v>
      </c>
      <c r="B4" s="28" t="s">
        <v>110</v>
      </c>
      <c r="C4" s="28" t="s">
        <v>111</v>
      </c>
      <c r="D4" s="28" t="s">
        <v>112</v>
      </c>
      <c r="E4" s="28" t="s">
        <v>113</v>
      </c>
      <c r="F4" s="28" t="s">
        <v>97</v>
      </c>
      <c r="G4" s="28" t="s">
        <v>114</v>
      </c>
      <c r="H4" s="28" t="s">
        <v>115</v>
      </c>
      <c r="I4" s="28" t="s">
        <v>116</v>
      </c>
      <c r="J4" s="28" t="s">
        <v>110</v>
      </c>
      <c r="P4" s="32"/>
      <c r="Q4" s="32"/>
      <c r="R4" s="32"/>
      <c r="S4" s="32"/>
      <c r="T4" s="32"/>
      <c r="U4" s="32"/>
    </row>
    <row r="5" spans="1:21" ht="36.75" thickBot="1" x14ac:dyDescent="0.35">
      <c r="A5" s="28" t="s">
        <v>117</v>
      </c>
      <c r="B5" s="28" t="s">
        <v>118</v>
      </c>
      <c r="C5" s="28" t="s">
        <v>119</v>
      </c>
      <c r="D5" s="28" t="s">
        <v>120</v>
      </c>
      <c r="E5" s="28" t="s">
        <v>121</v>
      </c>
      <c r="F5" s="28" t="s">
        <v>97</v>
      </c>
      <c r="G5" s="28" t="s">
        <v>122</v>
      </c>
      <c r="H5" s="28" t="s">
        <v>123</v>
      </c>
      <c r="I5" s="28" t="s">
        <v>124</v>
      </c>
      <c r="J5" s="28" t="s">
        <v>118</v>
      </c>
      <c r="P5" s="32" t="s">
        <v>162</v>
      </c>
      <c r="Q5" s="32"/>
      <c r="R5" s="32"/>
      <c r="S5" s="32"/>
      <c r="T5" s="32"/>
      <c r="U5" s="32"/>
    </row>
    <row r="6" spans="1:21" ht="36.75" thickBot="1" x14ac:dyDescent="0.3">
      <c r="A6" s="28" t="s">
        <v>125</v>
      </c>
      <c r="B6" s="28" t="s">
        <v>126</v>
      </c>
      <c r="C6" s="28" t="s">
        <v>127</v>
      </c>
      <c r="D6" s="28" t="s">
        <v>128</v>
      </c>
      <c r="E6" s="28" t="s">
        <v>129</v>
      </c>
      <c r="F6" s="28" t="s">
        <v>97</v>
      </c>
      <c r="G6" s="28" t="s">
        <v>130</v>
      </c>
      <c r="H6" s="28" t="s">
        <v>131</v>
      </c>
      <c r="I6" s="28" t="s">
        <v>132</v>
      </c>
      <c r="J6" s="28" t="s">
        <v>126</v>
      </c>
      <c r="L6" s="31" t="s">
        <v>157</v>
      </c>
      <c r="M6">
        <f>MATCH(M2,A2:A9,0)</f>
        <v>1</v>
      </c>
    </row>
    <row r="7" spans="1:21" ht="48.75" thickBot="1" x14ac:dyDescent="0.3">
      <c r="A7" s="28" t="s">
        <v>133</v>
      </c>
      <c r="B7" s="28" t="s">
        <v>134</v>
      </c>
      <c r="C7" s="28" t="s">
        <v>135</v>
      </c>
      <c r="D7" s="28" t="s">
        <v>136</v>
      </c>
      <c r="E7" s="28" t="s">
        <v>137</v>
      </c>
      <c r="F7" s="28" t="s">
        <v>97</v>
      </c>
      <c r="G7" s="28" t="s">
        <v>138</v>
      </c>
      <c r="H7" s="28" t="s">
        <v>139</v>
      </c>
      <c r="I7" s="28" t="s">
        <v>140</v>
      </c>
      <c r="J7" s="28" t="s">
        <v>134</v>
      </c>
      <c r="L7" s="31" t="s">
        <v>158</v>
      </c>
      <c r="M7">
        <f>MATCH(N1,B1:J1,'practice match and index'!N60)</f>
        <v>1</v>
      </c>
    </row>
    <row r="8" spans="1:21" ht="24.75" thickBot="1" x14ac:dyDescent="0.3">
      <c r="A8" s="28" t="s">
        <v>141</v>
      </c>
      <c r="B8" s="28" t="s">
        <v>142</v>
      </c>
      <c r="C8" s="28" t="s">
        <v>143</v>
      </c>
      <c r="D8" s="28" t="s">
        <v>144</v>
      </c>
      <c r="E8" s="28" t="s">
        <v>145</v>
      </c>
      <c r="F8" s="28" t="s">
        <v>97</v>
      </c>
      <c r="G8" s="28" t="s">
        <v>146</v>
      </c>
      <c r="H8" s="28" t="s">
        <v>147</v>
      </c>
      <c r="I8" s="28" t="s">
        <v>148</v>
      </c>
      <c r="J8" s="28" t="s">
        <v>142</v>
      </c>
    </row>
    <row r="9" spans="1:21" ht="36.75" thickBot="1" x14ac:dyDescent="0.3">
      <c r="A9" s="28" t="s">
        <v>149</v>
      </c>
      <c r="B9" s="28" t="s">
        <v>150</v>
      </c>
      <c r="C9" s="28" t="s">
        <v>151</v>
      </c>
      <c r="D9" s="28" t="s">
        <v>152</v>
      </c>
      <c r="E9" s="28" t="s">
        <v>153</v>
      </c>
      <c r="F9" s="28" t="s">
        <v>97</v>
      </c>
      <c r="G9" s="28" t="s">
        <v>154</v>
      </c>
      <c r="H9" s="28" t="s">
        <v>155</v>
      </c>
      <c r="I9" s="28" t="s">
        <v>156</v>
      </c>
      <c r="J9" s="28" t="s">
        <v>150</v>
      </c>
    </row>
  </sheetData>
  <dataValidations count="2">
    <dataValidation type="list" allowBlank="1" showInputMessage="1" showErrorMessage="1" sqref="M2" xr:uid="{4C63AB45-652D-4FFA-9499-03C83D423AC4}">
      <formula1>$A$2:$A$9</formula1>
    </dataValidation>
    <dataValidation type="list" allowBlank="1" showInputMessage="1" showErrorMessage="1" sqref="N1" xr:uid="{65C4E3B0-D8E0-4021-AE06-44FEAAF924A6}">
      <formula1>$B$1:$J$1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4B11-3373-4D17-B8EA-7A3F3805FA94}">
  <dimension ref="A1:P9"/>
  <sheetViews>
    <sheetView workbookViewId="0">
      <selection activeCell="L7" sqref="L7"/>
    </sheetView>
  </sheetViews>
  <sheetFormatPr defaultRowHeight="15" x14ac:dyDescent="0.25"/>
  <cols>
    <col min="1" max="1" width="16.28515625" customWidth="1"/>
    <col min="3" max="3" width="9" bestFit="1" customWidth="1"/>
    <col min="14" max="14" width="15.42578125" customWidth="1"/>
    <col min="15" max="15" width="27.140625" customWidth="1"/>
  </cols>
  <sheetData>
    <row r="1" spans="1:16" ht="45.75" thickBot="1" x14ac:dyDescent="0.3">
      <c r="A1" s="29" t="s">
        <v>82</v>
      </c>
      <c r="B1" s="30" t="s">
        <v>83</v>
      </c>
      <c r="C1" s="30" t="s">
        <v>84</v>
      </c>
      <c r="D1" s="30" t="s">
        <v>85</v>
      </c>
      <c r="E1" s="30" t="s">
        <v>86</v>
      </c>
      <c r="F1" s="30" t="s">
        <v>87</v>
      </c>
      <c r="G1" s="30" t="s">
        <v>88</v>
      </c>
      <c r="H1" s="30" t="s">
        <v>89</v>
      </c>
      <c r="I1" s="30" t="s">
        <v>90</v>
      </c>
      <c r="J1" s="30" t="s">
        <v>91</v>
      </c>
      <c r="N1" s="34"/>
      <c r="O1" s="34" t="s">
        <v>84</v>
      </c>
      <c r="P1" s="34"/>
    </row>
    <row r="2" spans="1:16" ht="36.75" thickBot="1" x14ac:dyDescent="0.3">
      <c r="A2" s="28" t="s">
        <v>92</v>
      </c>
      <c r="B2" s="28" t="s">
        <v>93</v>
      </c>
      <c r="C2" s="28" t="s">
        <v>94</v>
      </c>
      <c r="D2" s="28" t="s">
        <v>95</v>
      </c>
      <c r="E2" s="28" t="s">
        <v>96</v>
      </c>
      <c r="F2" s="28" t="s">
        <v>97</v>
      </c>
      <c r="G2" s="28" t="s">
        <v>98</v>
      </c>
      <c r="H2" s="28" t="s">
        <v>99</v>
      </c>
      <c r="I2" s="28" t="s">
        <v>100</v>
      </c>
      <c r="J2" s="28" t="s">
        <v>93</v>
      </c>
      <c r="N2" s="34" t="s">
        <v>117</v>
      </c>
      <c r="O2" s="35" t="str" cm="1">
        <f t="array" ref="O2">INDEX(A1:J9,N5,N6)</f>
        <v>History (Ms. Davis)</v>
      </c>
      <c r="P2" s="35"/>
    </row>
    <row r="3" spans="1:16" ht="36.75" thickBot="1" x14ac:dyDescent="0.3">
      <c r="A3" s="28" t="s">
        <v>101</v>
      </c>
      <c r="B3" s="28" t="s">
        <v>102</v>
      </c>
      <c r="C3" s="28" t="s">
        <v>103</v>
      </c>
      <c r="D3" s="28" t="s">
        <v>104</v>
      </c>
      <c r="E3" s="28" t="s">
        <v>105</v>
      </c>
      <c r="F3" s="28" t="s">
        <v>97</v>
      </c>
      <c r="G3" s="28" t="s">
        <v>106</v>
      </c>
      <c r="H3" s="28" t="s">
        <v>107</v>
      </c>
      <c r="I3" s="28" t="s">
        <v>108</v>
      </c>
      <c r="J3" s="28" t="s">
        <v>102</v>
      </c>
    </row>
    <row r="4" spans="1:16" ht="24.75" thickBot="1" x14ac:dyDescent="0.3">
      <c r="A4" s="28" t="s">
        <v>109</v>
      </c>
      <c r="B4" s="28" t="s">
        <v>110</v>
      </c>
      <c r="C4" s="28" t="s">
        <v>111</v>
      </c>
      <c r="D4" s="28" t="s">
        <v>112</v>
      </c>
      <c r="E4" s="28" t="s">
        <v>113</v>
      </c>
      <c r="F4" s="28" t="s">
        <v>97</v>
      </c>
      <c r="G4" s="28" t="s">
        <v>114</v>
      </c>
      <c r="H4" s="28" t="s">
        <v>115</v>
      </c>
      <c r="I4" s="28" t="s">
        <v>116</v>
      </c>
      <c r="J4" s="28" t="s">
        <v>110</v>
      </c>
    </row>
    <row r="5" spans="1:16" ht="36.75" thickBot="1" x14ac:dyDescent="0.3">
      <c r="A5" s="28" t="s">
        <v>117</v>
      </c>
      <c r="B5" s="28" t="s">
        <v>118</v>
      </c>
      <c r="C5" s="28" t="s">
        <v>119</v>
      </c>
      <c r="D5" s="28" t="s">
        <v>120</v>
      </c>
      <c r="E5" s="28" t="s">
        <v>121</v>
      </c>
      <c r="F5" s="28" t="s">
        <v>97</v>
      </c>
      <c r="G5" s="28" t="s">
        <v>122</v>
      </c>
      <c r="H5" s="28" t="s">
        <v>123</v>
      </c>
      <c r="I5" s="28" t="s">
        <v>124</v>
      </c>
      <c r="J5" s="28" t="s">
        <v>118</v>
      </c>
      <c r="M5" s="33" t="s">
        <v>157</v>
      </c>
      <c r="N5">
        <f>MATCH(N2,A1:A9,0)</f>
        <v>5</v>
      </c>
    </row>
    <row r="6" spans="1:16" ht="36.75" thickBot="1" x14ac:dyDescent="0.3">
      <c r="A6" s="28" t="s">
        <v>125</v>
      </c>
      <c r="B6" s="28" t="s">
        <v>126</v>
      </c>
      <c r="C6" s="28" t="s">
        <v>127</v>
      </c>
      <c r="D6" s="28" t="s">
        <v>128</v>
      </c>
      <c r="E6" s="28" t="s">
        <v>129</v>
      </c>
      <c r="F6" s="28" t="s">
        <v>97</v>
      </c>
      <c r="G6" s="28" t="s">
        <v>130</v>
      </c>
      <c r="H6" s="28" t="s">
        <v>131</v>
      </c>
      <c r="I6" s="28" t="s">
        <v>132</v>
      </c>
      <c r="J6" s="28" t="s">
        <v>126</v>
      </c>
      <c r="M6" s="33" t="s">
        <v>163</v>
      </c>
      <c r="N6">
        <f>MATCH(O1,A1:J1,0)</f>
        <v>3</v>
      </c>
    </row>
    <row r="7" spans="1:16" ht="48.75" thickBot="1" x14ac:dyDescent="0.3">
      <c r="A7" s="28" t="s">
        <v>133</v>
      </c>
      <c r="B7" s="28" t="s">
        <v>134</v>
      </c>
      <c r="C7" s="28" t="s">
        <v>135</v>
      </c>
      <c r="D7" s="28" t="s">
        <v>136</v>
      </c>
      <c r="E7" s="28" t="s">
        <v>137</v>
      </c>
      <c r="F7" s="28" t="s">
        <v>97</v>
      </c>
      <c r="G7" s="28" t="s">
        <v>138</v>
      </c>
      <c r="H7" s="28" t="s">
        <v>139</v>
      </c>
      <c r="I7" s="28" t="s">
        <v>140</v>
      </c>
      <c r="J7" s="28" t="s">
        <v>134</v>
      </c>
    </row>
    <row r="8" spans="1:16" ht="24.75" thickBot="1" x14ac:dyDescent="0.3">
      <c r="A8" s="28" t="s">
        <v>141</v>
      </c>
      <c r="B8" s="28" t="s">
        <v>142</v>
      </c>
      <c r="C8" s="28" t="s">
        <v>143</v>
      </c>
      <c r="D8" s="28" t="s">
        <v>144</v>
      </c>
      <c r="E8" s="28" t="s">
        <v>145</v>
      </c>
      <c r="F8" s="28" t="s">
        <v>97</v>
      </c>
      <c r="G8" s="28" t="s">
        <v>146</v>
      </c>
      <c r="H8" s="28" t="s">
        <v>147</v>
      </c>
      <c r="I8" s="28" t="s">
        <v>148</v>
      </c>
      <c r="J8" s="28" t="s">
        <v>142</v>
      </c>
    </row>
    <row r="9" spans="1:16" ht="48.75" thickBot="1" x14ac:dyDescent="0.3">
      <c r="A9" s="28" t="s">
        <v>149</v>
      </c>
      <c r="B9" s="28" t="s">
        <v>150</v>
      </c>
      <c r="C9" s="28" t="s">
        <v>151</v>
      </c>
      <c r="D9" s="28" t="s">
        <v>152</v>
      </c>
      <c r="E9" s="28" t="s">
        <v>153</v>
      </c>
      <c r="F9" s="28" t="s">
        <v>97</v>
      </c>
      <c r="G9" s="28" t="s">
        <v>154</v>
      </c>
      <c r="H9" s="28" t="s">
        <v>155</v>
      </c>
      <c r="I9" s="28" t="s">
        <v>156</v>
      </c>
      <c r="J9" s="28" t="s">
        <v>150</v>
      </c>
    </row>
  </sheetData>
  <mergeCells count="1">
    <mergeCell ref="O2:P2"/>
  </mergeCells>
  <dataValidations count="2">
    <dataValidation type="list" allowBlank="1" showInputMessage="1" showErrorMessage="1" sqref="N2" xr:uid="{704D671D-47E5-4F7B-A22F-D59B631989F9}">
      <formula1>$A$1:$A$9</formula1>
    </dataValidation>
    <dataValidation type="list" allowBlank="1" showInputMessage="1" showErrorMessage="1" sqref="O1" xr:uid="{E1E9B3F3-31E1-47E5-A52D-024C874BF958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V-lookup</vt:lpstr>
      <vt:lpstr>V-lookup2</vt:lpstr>
      <vt:lpstr>practice sheet</vt:lpstr>
      <vt:lpstr>Vlookup with match</vt:lpstr>
      <vt:lpstr>match and index</vt:lpstr>
      <vt:lpstr>practice match and index</vt:lpstr>
      <vt:lpstr>emp_type</vt:lpstr>
      <vt:lpstr>eptype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dangal</dc:creator>
  <cp:lastModifiedBy>rohan dangal</cp:lastModifiedBy>
  <dcterms:created xsi:type="dcterms:W3CDTF">2025-08-19T06:15:19Z</dcterms:created>
  <dcterms:modified xsi:type="dcterms:W3CDTF">2025-08-19T14:57:04Z</dcterms:modified>
</cp:coreProperties>
</file>