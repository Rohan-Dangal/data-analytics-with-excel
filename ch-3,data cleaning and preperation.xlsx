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Learn Excel/"/>
    </mc:Choice>
  </mc:AlternateContent>
  <xr:revisionPtr revIDLastSave="447" documentId="8_{74A64167-35F9-4695-B117-4B483C6637DA}" xr6:coauthVersionLast="47" xr6:coauthVersionMax="47" xr10:uidLastSave="{4B576A13-A718-4EA6-9DD8-3A337133EE65}"/>
  <bookViews>
    <workbookView xWindow="-120" yWindow="-120" windowWidth="20730" windowHeight="11040" xr2:uid="{92794ABA-8B71-43AB-9DEC-04BCB32AB151}"/>
  </bookViews>
  <sheets>
    <sheet name="Sheet1" sheetId="1" r:id="rId1"/>
    <sheet name="Remove_Duplicates" sheetId="2" r:id="rId2"/>
    <sheet name="RD_2" sheetId="3" r:id="rId3"/>
    <sheet name="data_validation" sheetId="10" r:id="rId4"/>
    <sheet name="remove blank rows" sheetId="4" r:id="rId5"/>
    <sheet name="remove space" sheetId="5" r:id="rId6"/>
    <sheet name="removespace-2" sheetId="7" r:id="rId7"/>
    <sheet name="data cleaning" sheetId="8" r:id="rId8"/>
    <sheet name="split dat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3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2" i="8"/>
  <c r="C2" i="7"/>
  <c r="B2" i="7"/>
  <c r="A2" i="7"/>
  <c r="D21" i="5"/>
  <c r="D12" i="5"/>
  <c r="D13" i="5"/>
  <c r="D14" i="5"/>
  <c r="D15" i="5"/>
  <c r="D16" i="5"/>
  <c r="D17" i="5"/>
  <c r="D18" i="5"/>
  <c r="D19" i="5"/>
  <c r="D20" i="5"/>
  <c r="D4" i="5"/>
  <c r="D5" i="5"/>
  <c r="D6" i="5"/>
  <c r="D7" i="5"/>
  <c r="D8" i="5"/>
  <c r="D9" i="5"/>
  <c r="D10" i="5"/>
  <c r="D11" i="5"/>
  <c r="C2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" i="5"/>
  <c r="D3" i="5"/>
  <c r="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ACE5E9-AFA6-4E09-98BD-7379BC53327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<sst xmlns="http://schemas.openxmlformats.org/spreadsheetml/2006/main" count="406" uniqueCount="300">
  <si>
    <t>in this chapter we are going to learn about</t>
  </si>
  <si>
    <t>remove dublicates</t>
  </si>
  <si>
    <t>remove blank rows and spaces</t>
  </si>
  <si>
    <t>change case using formula</t>
  </si>
  <si>
    <t>fix negative stock values</t>
  </si>
  <si>
    <t>split data</t>
  </si>
  <si>
    <t>product_id</t>
  </si>
  <si>
    <t>product_name</t>
  </si>
  <si>
    <t>category</t>
  </si>
  <si>
    <t>price (NPR)</t>
  </si>
  <si>
    <t>quantity_available</t>
  </si>
  <si>
    <t>rating (out of 5)</t>
  </si>
  <si>
    <t>seller</t>
  </si>
  <si>
    <t>Dhaka Topi</t>
  </si>
  <si>
    <t>Traditional Wear</t>
  </si>
  <si>
    <t>Nepali Handicrafts</t>
  </si>
  <si>
    <t>Khukuri Knife</t>
  </si>
  <si>
    <t>Hand Tools</t>
  </si>
  <si>
    <t>Gurkha Supplies</t>
  </si>
  <si>
    <t>Local Honey</t>
  </si>
  <si>
    <t>Food &amp; Beverage</t>
  </si>
  <si>
    <t>Himalayan Honey</t>
  </si>
  <si>
    <t>Woolen Shawl</t>
  </si>
  <si>
    <t>Clothing</t>
  </si>
  <si>
    <t>Everest Wool</t>
  </si>
  <si>
    <t>Handmade Paper Notebook</t>
  </si>
  <si>
    <t>Stationery</t>
  </si>
  <si>
    <t>Paper Nepal</t>
  </si>
  <si>
    <t>Rice Cooker</t>
  </si>
  <si>
    <t>Kitchen Appliance</t>
  </si>
  <si>
    <t>Home Appliances Pvt</t>
  </si>
  <si>
    <t>Herbal Tea</t>
  </si>
  <si>
    <t>Green Leaf</t>
  </si>
  <si>
    <t>Copper Water Bottle</t>
  </si>
  <si>
    <t>Utensils</t>
  </si>
  <si>
    <t>Pure Copper</t>
  </si>
  <si>
    <t>Traditional Bracelet</t>
  </si>
  <si>
    <t>Jewelry</t>
  </si>
  <si>
    <t>Nepal Crafts</t>
  </si>
  <si>
    <t>Yak Wool Socks</t>
  </si>
  <si>
    <t>Himalayan Wool</t>
  </si>
  <si>
    <t>price</t>
  </si>
  <si>
    <t>rating</t>
  </si>
  <si>
    <t>respondent_id</t>
  </si>
  <si>
    <t>name</t>
  </si>
  <si>
    <t>age</t>
  </si>
  <si>
    <t>gender</t>
  </si>
  <si>
    <t>contact_number</t>
  </si>
  <si>
    <t>city</t>
  </si>
  <si>
    <t>Ramesh</t>
  </si>
  <si>
    <t>Male</t>
  </si>
  <si>
    <t>Kathmandu</t>
  </si>
  <si>
    <t>Sita</t>
  </si>
  <si>
    <t>Female</t>
  </si>
  <si>
    <t>Sunil</t>
  </si>
  <si>
    <t>Meena</t>
  </si>
  <si>
    <t>Ram</t>
  </si>
  <si>
    <t>Lalitpur</t>
  </si>
  <si>
    <t>Gita</t>
  </si>
  <si>
    <t>Bikash</t>
  </si>
  <si>
    <t>Bhaktapur</t>
  </si>
  <si>
    <t>Nisha</t>
  </si>
  <si>
    <t>Hari</t>
  </si>
  <si>
    <t>Pokhara</t>
  </si>
  <si>
    <t>Laxmi</t>
  </si>
  <si>
    <t>Biratnagar</t>
  </si>
  <si>
    <t>STEPS</t>
  </si>
  <si>
    <t>SELECT ALL AND GO TO DATA</t>
  </si>
  <si>
    <t>UNDER THE DATA TOOLS SECTION THERE IS AN OPTION FOR REMOVE DUPLICATES</t>
  </si>
  <si>
    <t>IN THIS CASE WE ONLY HAVE DUPLICATE VALUE IN THE CONTACT NUMBER SO</t>
  </si>
  <si>
    <t xml:space="preserve">SELECT ALL GO TO DATA SECTION </t>
  </si>
  <si>
    <t>UNSELECT ALL</t>
  </si>
  <si>
    <t>SELECT TO THE ONLY SECTION IN WHICH YOU WANT TO CHECK</t>
  </si>
  <si>
    <t>Product Code</t>
  </si>
  <si>
    <t>Product Name</t>
  </si>
  <si>
    <t>Category</t>
  </si>
  <si>
    <t>Price</t>
  </si>
  <si>
    <t>Stock</t>
  </si>
  <si>
    <t>Electronics</t>
  </si>
  <si>
    <t>$89.99</t>
  </si>
  <si>
    <t>Home Goods</t>
  </si>
  <si>
    <t>$25.00</t>
  </si>
  <si>
    <t>Furniture</t>
  </si>
  <si>
    <t>Apparel</t>
  </si>
  <si>
    <t>$129.99</t>
  </si>
  <si>
    <t>Product Description</t>
  </si>
  <si>
    <t>P0001</t>
  </si>
  <si>
    <t>Eco-Friendly Lunchbox</t>
  </si>
  <si>
    <t>Made from recycled plastic with a leak-proof design.</t>
  </si>
  <si>
    <t>P0002</t>
  </si>
  <si>
    <t>Superb Gaming Mouse</t>
  </si>
  <si>
    <t>Ergonomic design with programmable buttons and RGB lighting.</t>
  </si>
  <si>
    <t>P0003</t>
  </si>
  <si>
    <t>Herbal Infusion Tea Set</t>
  </si>
  <si>
    <t>Food</t>
  </si>
  <si>
    <t>A variety pack of 12 natural, caffeine-free tea blends.</t>
  </si>
  <si>
    <t>P0004</t>
  </si>
  <si>
    <t>Premium Canvas Backpack</t>
  </si>
  <si>
    <t>Durable backpack with padded laptop sleeve and multiple pockets.</t>
  </si>
  <si>
    <t>P0005</t>
  </si>
  <si>
    <t>Smart Fitness Tracker</t>
  </si>
  <si>
    <t>Monitors heart rate, sleep, and steps with a 7-day battery life.</t>
  </si>
  <si>
    <t>P0006</t>
  </si>
  <si>
    <t>Gourmet Dark Chocolate Bar</t>
  </si>
  <si>
    <t>70% cacao with sea salt, handcrafted in small batches.</t>
  </si>
  <si>
    <t>P0007</t>
  </si>
  <si>
    <t>Adjustable Desk Lamp</t>
  </si>
  <si>
    <t>LED lamp with three light modes and a flexible neck.</t>
  </si>
  <si>
    <t>P0008</t>
  </si>
  <si>
    <t>Wireless Keyboard</t>
  </si>
  <si>
    <t>Full-size keyboard with a quiet, comfortable typing experience.</t>
  </si>
  <si>
    <t>P0009</t>
  </si>
  <si>
    <t>Classic Crewneck T-shirt</t>
  </si>
  <si>
    <t>Soft, 100% cotton t-shirt available in multiple colors.</t>
  </si>
  <si>
    <t>P0010</t>
  </si>
  <si>
    <t>Stainless Steel Mug</t>
  </si>
  <si>
    <t>Insulated mug keeps drinks hot or cold for hours.</t>
  </si>
  <si>
    <t>P0011</t>
  </si>
  <si>
    <t>Organic Coffee Beans</t>
  </si>
  <si>
    <t>Medium roast, whole bean coffee from fair-trade farms.</t>
  </si>
  <si>
    <t>P0012</t>
  </si>
  <si>
    <t>HD Webcam</t>
  </si>
  <si>
    <t>1080p resolution for clear video calls and streaming.</t>
  </si>
  <si>
    <t>P0013</t>
  </si>
  <si>
    <t>Wool Knit Sweater</t>
  </si>
  <si>
    <t>Warm and cozy sweater made from sustainable wool.</t>
  </si>
  <si>
    <t>P0014</t>
  </si>
  <si>
    <t>Handcrafted Wooden Coasters</t>
  </si>
  <si>
    <t>Set of four polished coasters with unique grain patterns.</t>
  </si>
  <si>
    <t>P0015</t>
  </si>
  <si>
    <t>Rechargeable Portable Speaker</t>
  </si>
  <si>
    <t>Compact speaker with rich sound and Bluetooth connectivity.</t>
  </si>
  <si>
    <t>here we have blanks rows so inorder to remove these</t>
  </si>
  <si>
    <t>st-1:ctrl+G</t>
  </si>
  <si>
    <t>st-2:special</t>
  </si>
  <si>
    <t>st-3blank</t>
  </si>
  <si>
    <t>st-4:ctrl+(-)</t>
  </si>
  <si>
    <t>and then entire row</t>
  </si>
  <si>
    <t>after removing blank spaces</t>
  </si>
  <si>
    <t>Product ID</t>
  </si>
  <si>
    <t>PROD-001</t>
  </si>
  <si>
    <t>Wireless Earbuds</t>
  </si>
  <si>
    <t>PROD-002</t>
  </si>
  <si>
    <t>$15.49</t>
  </si>
  <si>
    <t>PROD-003</t>
  </si>
  <si>
    <t>Ergonomic Office Chair</t>
  </si>
  <si>
    <t>$249.99</t>
  </si>
  <si>
    <t>PROD-004</t>
  </si>
  <si>
    <t>Stainless Steel Water Bottle</t>
  </si>
  <si>
    <t>PROD-005</t>
  </si>
  <si>
    <t>Yoga Mat</t>
  </si>
  <si>
    <t>Sports &amp; Fitness</t>
  </si>
  <si>
    <t>$35.50</t>
  </si>
  <si>
    <t>PROD-006</t>
  </si>
  <si>
    <t>Portable Power Bank</t>
  </si>
  <si>
    <t>$45.99</t>
  </si>
  <si>
    <t>PROD-007</t>
  </si>
  <si>
    <t>Gourmet Dark Chocolate</t>
  </si>
  <si>
    <t>$8.75</t>
  </si>
  <si>
    <t>PROD-008</t>
  </si>
  <si>
    <t>Smart Table Lamp</t>
  </si>
  <si>
    <t>$79.00</t>
  </si>
  <si>
    <t>PROD-009</t>
  </si>
  <si>
    <t>Bamboo Cutting Board</t>
  </si>
  <si>
    <t>$18.99</t>
  </si>
  <si>
    <t>PROD-010</t>
  </si>
  <si>
    <t>Resistance Bands Set</t>
  </si>
  <si>
    <t>$19.99</t>
  </si>
  <si>
    <t>PROD-011</t>
  </si>
  <si>
    <t>Noise-Cancelling Headphones</t>
  </si>
  <si>
    <t>$299.00</t>
  </si>
  <si>
    <t>PROD-012</t>
  </si>
  <si>
    <t>Artisanal Bread Mix</t>
  </si>
  <si>
    <t>$9.25</t>
  </si>
  <si>
    <t>PROD-013</t>
  </si>
  <si>
    <t>Velvet Throw Pillow</t>
  </si>
  <si>
    <t>Home Decor</t>
  </si>
  <si>
    <t>$30.50</t>
  </si>
  <si>
    <t>PROD-014</t>
  </si>
  <si>
    <t>Handcrafted Leather Wallet</t>
  </si>
  <si>
    <t>Accessories</t>
  </si>
  <si>
    <t>$59.99</t>
  </si>
  <si>
    <t>PROD-015</t>
  </si>
  <si>
    <t>Smart Home Hub</t>
  </si>
  <si>
    <t>$199.50</t>
  </si>
  <si>
    <t>PROD-016</t>
  </si>
  <si>
    <t>Fruit Infuser Bottle</t>
  </si>
  <si>
    <t>$17.00</t>
  </si>
  <si>
    <t>PROD-017</t>
  </si>
  <si>
    <t>Bluetooth Speaker</t>
  </si>
  <si>
    <t>$85.00</t>
  </si>
  <si>
    <t>PROD-018</t>
  </si>
  <si>
    <t>Herbal Tea Assortment</t>
  </si>
  <si>
    <t>$12.99</t>
  </si>
  <si>
    <t>PROD-019</t>
  </si>
  <si>
    <t>Classic Denim Jacket</t>
  </si>
  <si>
    <t>PROD-020</t>
  </si>
  <si>
    <t>Desktop Monitor Stand</t>
  </si>
  <si>
    <t>Office Supplies</t>
  </si>
  <si>
    <t>$42.00</t>
  </si>
  <si>
    <t>quantity available</t>
  </si>
  <si>
    <t>Length</t>
  </si>
  <si>
    <t>here if we want to check the length of any character we use =len formula</t>
  </si>
  <si>
    <t>to remove unnecessary space (leading and trailing space)    apple(this is leading space)</t>
  </si>
  <si>
    <r>
      <t>we use</t>
    </r>
    <r>
      <rPr>
        <sz val="16"/>
        <color theme="1"/>
        <rFont val="Aptos Narrow"/>
        <family val="2"/>
        <scheme val="minor"/>
      </rPr>
      <t xml:space="preserve"> isequal to trim formula</t>
    </r>
  </si>
  <si>
    <t>Remove Space</t>
  </si>
  <si>
    <t>list</t>
  </si>
  <si>
    <t>items</t>
  </si>
  <si>
    <t>substitute allow you to change old letters to new letters</t>
  </si>
  <si>
    <t>CHAR(160)DENOTES THE UNBREAKABLE CHARACTER</t>
  </si>
  <si>
    <t>here I wrote car+bus using ="car" &amp; CHAR(160) &amp; "BUS"</t>
  </si>
  <si>
    <t>USE OF SUBSTITUE</t>
  </si>
  <si>
    <t>here I used the formula to substitute c with r</t>
  </si>
  <si>
    <t>we can break the unbreakable character by using =substitue(clickoncell,CHAR(160),OLDTEXT</t>
  </si>
  <si>
    <t>NEWTEXT,""</t>
  </si>
  <si>
    <t>"")</t>
  </si>
  <si>
    <t>product</t>
  </si>
  <si>
    <t>product name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</si>
  <si>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</si>
  <si>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</si>
  <si>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</si>
  <si>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</si>
  <si>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</si>
  <si>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</si>
  <si>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</si>
  <si>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</si>
  <si>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</si>
  <si>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</si>
  <si>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</si>
  <si>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</si>
  <si>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</si>
  <si>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</si>
  <si>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</si>
  <si>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</si>
  <si>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</si>
  <si>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</si>
  <si>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</si>
  <si>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</si>
  <si>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</si>
  <si>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</si>
  <si>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</si>
  <si>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</si>
  <si>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</si>
  <si>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</si>
  <si>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</si>
  <si>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</si>
  <si>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</si>
  <si>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</si>
  <si>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</si>
  <si>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here we are going to learn about proper case</t>
  </si>
  <si>
    <t>proper</t>
  </si>
  <si>
    <t xml:space="preserve">elecTRonics  </t>
  </si>
  <si>
    <t xml:space="preserve">HOME &amp; garden  </t>
  </si>
  <si>
    <t xml:space="preserve">SPORTS &amp; outdoors  </t>
  </si>
  <si>
    <t xml:space="preserve">Books &amp; MEDIA  </t>
  </si>
  <si>
    <t xml:space="preserve">food &amp; beverage  </t>
  </si>
  <si>
    <t xml:space="preserve">HEALTH &amp; beauty  </t>
  </si>
  <si>
    <t xml:space="preserve">toys &amp; GAMES  </t>
  </si>
  <si>
    <t xml:space="preserve">pet supplies  </t>
  </si>
  <si>
    <t xml:space="preserve">APPAREL &amp; Accessories  </t>
  </si>
  <si>
    <t xml:space="preserve">arts &amp; Crafts  </t>
  </si>
  <si>
    <t xml:space="preserve">AUTOmotive  </t>
  </si>
  <si>
    <t xml:space="preserve">office SUPPLIES  </t>
  </si>
  <si>
    <t xml:space="preserve">baby &amp; kids  </t>
  </si>
  <si>
    <t xml:space="preserve">jewelry &amp; WATCHES  </t>
  </si>
  <si>
    <t>FURNITURE &amp; decor</t>
  </si>
  <si>
    <t>so to use proper we do =proper(cell)</t>
  </si>
  <si>
    <t>likewise we can use upper lower and so on…</t>
  </si>
  <si>
    <t>after celaning the messy data we can delete</t>
  </si>
  <si>
    <t>the messy column by selecting column+ctrl+alt</t>
  </si>
  <si>
    <t>v</t>
  </si>
  <si>
    <t>dealing negative value with if condidtion</t>
  </si>
  <si>
    <t>new stock</t>
  </si>
  <si>
    <t>city-pincode</t>
  </si>
  <si>
    <t>for flash fill we can go to data</t>
  </si>
  <si>
    <t>and there under data tools section</t>
  </si>
  <si>
    <t>there exist flash fill</t>
  </si>
  <si>
    <t>damak</t>
  </si>
  <si>
    <t>damak-0012</t>
  </si>
  <si>
    <t>birtamod-2323</t>
  </si>
  <si>
    <t>gauradha-2256</t>
  </si>
  <si>
    <t xml:space="preserve">use the formula find </t>
  </si>
  <si>
    <t>extract year from a date</t>
  </si>
  <si>
    <r>
      <t>LEN(text)</t>
    </r>
    <r>
      <rPr>
        <sz val="11"/>
        <color theme="1"/>
        <rFont val="Aptos Narrow"/>
        <family val="2"/>
        <scheme val="minor"/>
      </rPr>
      <t xml:space="preserve"> → counts total characters.</t>
    </r>
  </si>
  <si>
    <r>
      <t>FIND(character, text)</t>
    </r>
    <r>
      <rPr>
        <sz val="11"/>
        <color theme="1"/>
        <rFont val="Aptos Narrow"/>
        <family val="2"/>
        <scheme val="minor"/>
      </rPr>
      <t xml:space="preserve"> → finds position of a character.</t>
    </r>
  </si>
  <si>
    <r>
      <t>MID(text, start, num_chars)</t>
    </r>
    <r>
      <rPr>
        <sz val="11"/>
        <color theme="1"/>
        <rFont val="Aptos Narrow"/>
        <family val="2"/>
        <scheme val="minor"/>
      </rPr>
      <t xml:space="preserve"> → extracts from the middle.</t>
    </r>
  </si>
  <si>
    <t>Full Name</t>
  </si>
  <si>
    <t>phone number</t>
  </si>
  <si>
    <t>Rohan Dangal</t>
  </si>
  <si>
    <t>Anisha Shrestha</t>
  </si>
  <si>
    <t>Suman Gurung</t>
  </si>
  <si>
    <t>Bibek Maharjan</t>
  </si>
  <si>
    <t>Kritika Adhikari</t>
  </si>
  <si>
    <t>Prakash Rai</t>
  </si>
  <si>
    <t>Manish Karki</t>
  </si>
  <si>
    <t>Sunita Tamang</t>
  </si>
  <si>
    <t>Aarav Basnet</t>
  </si>
  <si>
    <t>Nisha Pandey</t>
  </si>
  <si>
    <t>here contact is comp 10 digits so to make it we use data validation</t>
  </si>
  <si>
    <t>to do that select phone data and under the data tab under data tools(click data validation) and select text length as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</si>
</sst>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0"/>
      <color theme="1"/>
      <name val="Arial"/>
      <family val="2"/>
    </font>
    <font>
      <sz val="11"/>
      <color rgb="FFFF0000"/>
      <name val="Aptos Narrow"/>
      <family val="2"/>
      <scheme val="minor"/>
    </font>
    <font>
      <b/>
      <sz val="12"/>
      <color theme="1"/>
      <name val="Arial"/>
      <family val="2"/>
    </font>
    <font>
      <sz val="16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6" fillId="4" borderId="0" xfId="0" applyFont="1" applyFill="1"/>
    <xf numFmtId="0" fontId="0" fillId="4" borderId="0" xfId="0" applyFill="1"/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E8CC-8FC2-4E07-A136-9916193BE6E6}">
  <dimension ref="A1:M11"/>
  <sheetViews>
    <sheetView tabSelected="1" workbookViewId="0">
      <selection activeCell="Q4" sqref="Q4"/>
    </sheetView>
  </sheetViews>
  <sheetFormatPr defaultRowHeight="15" x14ac:dyDescent="0.25"/>
  <cols>
    <col min="7" max="7" width="8.85546875" bestFit="1" customWidth="1"/>
    <col min="8" max="8" width="14.140625" customWidth="1"/>
    <col min="9" max="9" width="8.85546875" bestFit="1" customWidth="1"/>
    <col min="10" max="10" width="6.28515625" bestFit="1" customWidth="1"/>
    <col min="11" max="11" width="18.140625" customWidth="1"/>
    <col min="12" max="12" width="9.42578125" customWidth="1"/>
    <col min="13" max="13" width="9.140625" bestFit="1" customWidth="1"/>
  </cols>
  <sheetData>
    <row r="1" spans="1:13" ht="45" x14ac:dyDescent="0.3">
      <c r="A1" s="5" t="s">
        <v>0</v>
      </c>
      <c r="B1" s="5"/>
      <c r="C1" s="5"/>
      <c r="D1" s="5"/>
      <c r="E1" s="5"/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5" x14ac:dyDescent="0.3">
      <c r="A2" s="5" t="s">
        <v>1</v>
      </c>
      <c r="B2" s="5"/>
      <c r="C2" s="5"/>
      <c r="D2" s="5"/>
      <c r="E2" s="5"/>
      <c r="G2" s="3">
        <v>201</v>
      </c>
      <c r="H2" s="3" t="s">
        <v>13</v>
      </c>
      <c r="I2" s="3" t="s">
        <v>14</v>
      </c>
      <c r="J2" s="3">
        <v>1200</v>
      </c>
      <c r="K2" s="3">
        <v>50</v>
      </c>
      <c r="L2" s="3">
        <v>4.5</v>
      </c>
      <c r="M2" s="3" t="s">
        <v>15</v>
      </c>
    </row>
    <row r="3" spans="1:13" ht="30" x14ac:dyDescent="0.3">
      <c r="A3" s="5" t="s">
        <v>2</v>
      </c>
      <c r="B3" s="5"/>
      <c r="C3" s="5"/>
      <c r="D3" s="5"/>
      <c r="E3" s="5"/>
      <c r="G3" s="3">
        <v>202</v>
      </c>
      <c r="H3" s="3" t="s">
        <v>16</v>
      </c>
      <c r="I3" s="3" t="s">
        <v>17</v>
      </c>
      <c r="J3" s="3">
        <v>3500</v>
      </c>
      <c r="K3" s="3">
        <v>30</v>
      </c>
      <c r="L3" s="3">
        <v>4.8</v>
      </c>
      <c r="M3" s="3" t="s">
        <v>18</v>
      </c>
    </row>
    <row r="4" spans="1:13" ht="30" x14ac:dyDescent="0.3">
      <c r="A4" s="5" t="s">
        <v>3</v>
      </c>
      <c r="B4" s="5"/>
      <c r="C4" s="5"/>
      <c r="D4" s="5"/>
      <c r="E4" s="5"/>
      <c r="G4" s="3">
        <v>203</v>
      </c>
      <c r="H4" s="3" t="s">
        <v>19</v>
      </c>
      <c r="I4" s="3" t="s">
        <v>20</v>
      </c>
      <c r="J4" s="3">
        <v>800</v>
      </c>
      <c r="K4" s="3">
        <v>100</v>
      </c>
      <c r="L4" s="3">
        <v>4.2</v>
      </c>
      <c r="M4" s="3" t="s">
        <v>21</v>
      </c>
    </row>
    <row r="5" spans="1:13" ht="30" x14ac:dyDescent="0.3">
      <c r="A5" s="5" t="s">
        <v>4</v>
      </c>
      <c r="B5" s="5"/>
      <c r="C5" s="5"/>
      <c r="D5" s="5"/>
      <c r="E5" s="5"/>
      <c r="G5" s="3">
        <v>204</v>
      </c>
      <c r="H5" s="3" t="s">
        <v>22</v>
      </c>
      <c r="I5" s="3" t="s">
        <v>23</v>
      </c>
      <c r="J5" s="3">
        <v>1500</v>
      </c>
      <c r="K5" s="3">
        <v>40</v>
      </c>
      <c r="L5" s="3">
        <v>4.4000000000000004</v>
      </c>
      <c r="M5" s="3" t="s">
        <v>24</v>
      </c>
    </row>
    <row r="6" spans="1:13" ht="60" x14ac:dyDescent="0.3">
      <c r="A6" s="5" t="s">
        <v>5</v>
      </c>
      <c r="B6" s="5"/>
      <c r="C6" s="5"/>
      <c r="D6" s="5"/>
      <c r="E6" s="5"/>
      <c r="G6" s="3">
        <v>205</v>
      </c>
      <c r="H6" s="3" t="s">
        <v>25</v>
      </c>
      <c r="I6" s="3" t="s">
        <v>26</v>
      </c>
      <c r="J6" s="3">
        <v>500</v>
      </c>
      <c r="K6" s="3">
        <v>150</v>
      </c>
      <c r="L6" s="3">
        <v>4.0999999999999996</v>
      </c>
      <c r="M6" s="3" t="s">
        <v>27</v>
      </c>
    </row>
    <row r="7" spans="1:13" ht="45" x14ac:dyDescent="0.25">
      <c r="G7" s="3">
        <v>206</v>
      </c>
      <c r="H7" s="3" t="s">
        <v>28</v>
      </c>
      <c r="I7" s="3" t="s">
        <v>29</v>
      </c>
      <c r="J7" s="3">
        <v>3500</v>
      </c>
      <c r="K7" s="3">
        <v>20</v>
      </c>
      <c r="L7" s="3">
        <v>4.3</v>
      </c>
      <c r="M7" s="3" t="s">
        <v>30</v>
      </c>
    </row>
    <row r="8" spans="1:13" ht="30" x14ac:dyDescent="0.25">
      <c r="G8" s="3">
        <v>207</v>
      </c>
      <c r="H8" s="3" t="s">
        <v>31</v>
      </c>
      <c r="I8" s="3" t="s">
        <v>20</v>
      </c>
      <c r="J8" s="3">
        <v>600</v>
      </c>
      <c r="K8" s="3">
        <v>120</v>
      </c>
      <c r="L8" s="3">
        <v>4.5999999999999996</v>
      </c>
      <c r="M8" s="3" t="s">
        <v>32</v>
      </c>
    </row>
    <row r="9" spans="1:13" ht="45" x14ac:dyDescent="0.25">
      <c r="G9" s="3">
        <v>208</v>
      </c>
      <c r="H9" s="3" t="s">
        <v>33</v>
      </c>
      <c r="I9" s="3" t="s">
        <v>34</v>
      </c>
      <c r="J9" s="3">
        <v>1300</v>
      </c>
      <c r="K9" s="3">
        <v>75</v>
      </c>
      <c r="L9" s="3">
        <v>4.7</v>
      </c>
      <c r="M9" s="3" t="s">
        <v>35</v>
      </c>
    </row>
    <row r="10" spans="1:13" ht="45" x14ac:dyDescent="0.25">
      <c r="G10" s="3">
        <v>209</v>
      </c>
      <c r="H10" s="3" t="s">
        <v>36</v>
      </c>
      <c r="I10" s="3" t="s">
        <v>37</v>
      </c>
      <c r="J10" s="3">
        <v>900</v>
      </c>
      <c r="K10" s="3">
        <v>60</v>
      </c>
      <c r="L10" s="3">
        <v>4.2</v>
      </c>
      <c r="M10" s="3" t="s">
        <v>38</v>
      </c>
    </row>
    <row r="11" spans="1:13" ht="30" x14ac:dyDescent="0.25">
      <c r="G11" s="3">
        <v>210</v>
      </c>
      <c r="H11" s="3" t="s">
        <v>39</v>
      </c>
      <c r="I11" s="3" t="s">
        <v>23</v>
      </c>
      <c r="J11" s="3">
        <v>1100</v>
      </c>
      <c r="K11" s="3">
        <v>80</v>
      </c>
      <c r="L11" s="3">
        <v>4.5</v>
      </c>
      <c r="M11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42B0-DA95-4A2E-9FC7-4DE6414EA073}">
  <dimension ref="A1:G9"/>
  <sheetViews>
    <sheetView workbookViewId="0">
      <selection activeCell="I6" sqref="I6"/>
    </sheetView>
  </sheetViews>
  <sheetFormatPr defaultRowHeight="15" x14ac:dyDescent="0.25"/>
  <cols>
    <col min="1" max="1" width="8.85546875" bestFit="1" customWidth="1"/>
    <col min="2" max="2" width="14" customWidth="1"/>
    <col min="3" max="3" width="11.5703125" customWidth="1"/>
    <col min="4" max="4" width="5.5703125" bestFit="1" customWidth="1"/>
    <col min="5" max="5" width="9.28515625" customWidth="1"/>
    <col min="6" max="6" width="6.140625" bestFit="1" customWidth="1"/>
    <col min="7" max="7" width="18.140625" customWidth="1"/>
  </cols>
  <sheetData>
    <row r="1" spans="1:7" ht="30" x14ac:dyDescent="0.25">
      <c r="A1" s="2" t="s">
        <v>6</v>
      </c>
      <c r="B1" s="2" t="s">
        <v>7</v>
      </c>
      <c r="C1" s="2" t="s">
        <v>8</v>
      </c>
      <c r="D1" s="2" t="s">
        <v>41</v>
      </c>
      <c r="E1" s="2" t="s">
        <v>10</v>
      </c>
      <c r="F1" s="2" t="s">
        <v>42</v>
      </c>
      <c r="G1" s="2" t="s">
        <v>12</v>
      </c>
    </row>
    <row r="2" spans="1:7" ht="30" x14ac:dyDescent="0.25">
      <c r="A2" s="3">
        <v>201</v>
      </c>
      <c r="B2" s="3" t="s">
        <v>13</v>
      </c>
      <c r="C2" s="3" t="s">
        <v>14</v>
      </c>
      <c r="D2" s="3">
        <v>1200</v>
      </c>
      <c r="E2" s="3">
        <v>50</v>
      </c>
      <c r="F2" s="3">
        <v>4.5</v>
      </c>
      <c r="G2" s="3" t="s">
        <v>15</v>
      </c>
    </row>
    <row r="3" spans="1:7" x14ac:dyDescent="0.25">
      <c r="A3" s="3">
        <v>202</v>
      </c>
      <c r="B3" s="3" t="s">
        <v>16</v>
      </c>
      <c r="C3" s="3" t="s">
        <v>17</v>
      </c>
      <c r="D3" s="3">
        <v>3500</v>
      </c>
      <c r="E3" s="3">
        <v>30</v>
      </c>
      <c r="F3" s="3">
        <v>4.8</v>
      </c>
      <c r="G3" s="3" t="s">
        <v>18</v>
      </c>
    </row>
    <row r="7" spans="1:7" x14ac:dyDescent="0.25">
      <c r="A7" s="4" t="s">
        <v>66</v>
      </c>
      <c r="B7" s="4"/>
      <c r="C7" s="4"/>
      <c r="D7" s="4"/>
      <c r="E7" s="4"/>
      <c r="F7" s="4"/>
      <c r="G7" s="4"/>
    </row>
    <row r="8" spans="1:7" x14ac:dyDescent="0.25">
      <c r="A8" s="4" t="s">
        <v>67</v>
      </c>
      <c r="B8" s="4"/>
      <c r="C8" s="4"/>
      <c r="D8" s="4"/>
      <c r="E8" s="4"/>
      <c r="F8" s="4"/>
      <c r="G8" s="4"/>
    </row>
    <row r="9" spans="1:7" x14ac:dyDescent="0.25">
      <c r="A9" s="4" t="s">
        <v>68</v>
      </c>
      <c r="B9" s="4"/>
      <c r="C9" s="4"/>
      <c r="D9" s="4"/>
      <c r="E9" s="4"/>
      <c r="F9" s="4"/>
      <c r="G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747B-2DB3-4155-9D46-527A1A5A8A22}">
  <dimension ref="A1:Q11"/>
  <sheetViews>
    <sheetView workbookViewId="0">
      <selection activeCell="J8" sqref="J8"/>
    </sheetView>
  </sheetViews>
  <sheetFormatPr defaultRowHeight="15" x14ac:dyDescent="0.25"/>
  <cols>
    <col min="5" max="5" width="17" customWidth="1"/>
    <col min="6" max="6" width="13.140625" customWidth="1"/>
  </cols>
  <sheetData>
    <row r="1" spans="1:17" ht="30" x14ac:dyDescent="0.25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J1" s="4" t="s">
        <v>69</v>
      </c>
      <c r="K1" s="4"/>
      <c r="L1" s="4"/>
      <c r="M1" s="4"/>
      <c r="N1" s="4"/>
      <c r="O1" s="4"/>
      <c r="P1" s="4"/>
      <c r="Q1" s="4"/>
    </row>
    <row r="2" spans="1:17" x14ac:dyDescent="0.25">
      <c r="A2" s="3">
        <v>1</v>
      </c>
      <c r="B2" s="3" t="s">
        <v>49</v>
      </c>
      <c r="C2" s="3">
        <v>45</v>
      </c>
      <c r="D2" s="3" t="s">
        <v>50</v>
      </c>
      <c r="E2" s="1">
        <v>9841000001</v>
      </c>
      <c r="F2" s="3" t="s">
        <v>51</v>
      </c>
      <c r="J2" s="4" t="s">
        <v>70</v>
      </c>
      <c r="K2" s="4"/>
      <c r="L2" s="4"/>
      <c r="M2" s="4"/>
      <c r="N2" s="4"/>
      <c r="O2" s="4"/>
      <c r="P2" s="4"/>
      <c r="Q2" s="4"/>
    </row>
    <row r="3" spans="1:17" x14ac:dyDescent="0.25">
      <c r="A3" s="3">
        <v>2</v>
      </c>
      <c r="B3" s="3" t="s">
        <v>52</v>
      </c>
      <c r="C3" s="3">
        <v>42</v>
      </c>
      <c r="D3" s="3" t="s">
        <v>53</v>
      </c>
      <c r="E3" s="1">
        <v>9841000001</v>
      </c>
      <c r="F3" s="3" t="s">
        <v>51</v>
      </c>
      <c r="J3" s="4" t="s">
        <v>71</v>
      </c>
      <c r="K3" s="4"/>
      <c r="L3" s="4"/>
      <c r="M3" s="4"/>
      <c r="N3" s="4"/>
      <c r="O3" s="4"/>
      <c r="P3" s="4"/>
      <c r="Q3" s="4"/>
    </row>
    <row r="4" spans="1:17" x14ac:dyDescent="0.25">
      <c r="A4" s="3">
        <v>3</v>
      </c>
      <c r="B4" s="3" t="s">
        <v>54</v>
      </c>
      <c r="C4" s="3">
        <v>18</v>
      </c>
      <c r="D4" s="3" t="s">
        <v>50</v>
      </c>
      <c r="E4" s="1">
        <v>9841000001</v>
      </c>
      <c r="F4" s="3" t="s">
        <v>51</v>
      </c>
      <c r="J4" s="4" t="s">
        <v>72</v>
      </c>
      <c r="K4" s="4"/>
      <c r="L4" s="4"/>
      <c r="M4" s="4"/>
      <c r="N4" s="4"/>
      <c r="O4" s="4"/>
      <c r="P4" s="4"/>
      <c r="Q4" s="4"/>
    </row>
    <row r="5" spans="1:17" x14ac:dyDescent="0.25">
      <c r="A5" s="3">
        <v>4</v>
      </c>
      <c r="B5" s="3" t="s">
        <v>55</v>
      </c>
      <c r="C5" s="3">
        <v>15</v>
      </c>
      <c r="D5" s="3" t="s">
        <v>53</v>
      </c>
      <c r="E5" s="1">
        <v>9841000001</v>
      </c>
      <c r="F5" s="3" t="s">
        <v>51</v>
      </c>
    </row>
    <row r="6" spans="1:17" x14ac:dyDescent="0.25">
      <c r="A6" s="3">
        <v>5</v>
      </c>
      <c r="B6" s="3" t="s">
        <v>56</v>
      </c>
      <c r="C6" s="3">
        <v>35</v>
      </c>
      <c r="D6" s="3" t="s">
        <v>50</v>
      </c>
      <c r="E6" s="1">
        <v>9842000002</v>
      </c>
      <c r="F6" s="3" t="s">
        <v>57</v>
      </c>
    </row>
    <row r="7" spans="1:17" x14ac:dyDescent="0.25">
      <c r="A7" s="3">
        <v>6</v>
      </c>
      <c r="B7" s="3" t="s">
        <v>58</v>
      </c>
      <c r="C7" s="3">
        <v>30</v>
      </c>
      <c r="D7" s="3" t="s">
        <v>53</v>
      </c>
      <c r="E7" s="1">
        <v>9842000002</v>
      </c>
      <c r="F7" s="3" t="s">
        <v>57</v>
      </c>
    </row>
    <row r="8" spans="1:17" x14ac:dyDescent="0.25">
      <c r="A8" s="3">
        <v>7</v>
      </c>
      <c r="B8" s="3" t="s">
        <v>59</v>
      </c>
      <c r="C8" s="3">
        <v>29</v>
      </c>
      <c r="D8" s="3" t="s">
        <v>50</v>
      </c>
      <c r="E8" s="1">
        <v>9843000003</v>
      </c>
      <c r="F8" s="3" t="s">
        <v>60</v>
      </c>
    </row>
    <row r="9" spans="1:17" x14ac:dyDescent="0.25">
      <c r="A9" s="3">
        <v>8</v>
      </c>
      <c r="B9" s="3" t="s">
        <v>61</v>
      </c>
      <c r="C9" s="3">
        <v>27</v>
      </c>
      <c r="D9" s="3" t="s">
        <v>53</v>
      </c>
      <c r="E9" s="1">
        <v>9844000004</v>
      </c>
      <c r="F9" s="3" t="s">
        <v>51</v>
      </c>
    </row>
    <row r="10" spans="1:17" x14ac:dyDescent="0.25">
      <c r="A10" s="3">
        <v>9</v>
      </c>
      <c r="B10" s="3" t="s">
        <v>62</v>
      </c>
      <c r="C10" s="3">
        <v>40</v>
      </c>
      <c r="D10" s="3" t="s">
        <v>50</v>
      </c>
      <c r="E10" s="1">
        <v>9845000005</v>
      </c>
      <c r="F10" s="3" t="s">
        <v>63</v>
      </c>
    </row>
    <row r="11" spans="1:17" x14ac:dyDescent="0.25">
      <c r="A11" s="3">
        <v>10</v>
      </c>
      <c r="B11" s="3" t="s">
        <v>64</v>
      </c>
      <c r="C11" s="3">
        <v>38</v>
      </c>
      <c r="D11" s="3" t="s">
        <v>53</v>
      </c>
      <c r="E11" s="1">
        <v>9846000006</v>
      </c>
      <c r="F11" s="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9A5E-8FFA-4CE6-8273-649EDC6CDC2C}">
  <dimension ref="A1:T11"/>
  <sheetViews>
    <sheetView topLeftCell="A6" workbookViewId="0">
      <selection activeCell="B12" sqref="B12"/>
    </sheetView>
  </sheetViews>
  <sheetFormatPr defaultRowHeight="15" x14ac:dyDescent="0.25"/>
  <cols>
    <col min="1" max="1" width="15.42578125" bestFit="1" customWidth="1"/>
    <col min="2" max="2" width="14" bestFit="1" customWidth="1"/>
    <col min="10" max="10" width="15.42578125" bestFit="1" customWidth="1"/>
  </cols>
  <sheetData>
    <row r="1" spans="1:20" x14ac:dyDescent="0.25">
      <c r="A1" t="s">
        <v>286</v>
      </c>
      <c r="B1" t="s">
        <v>287</v>
      </c>
    </row>
    <row r="2" spans="1:20" x14ac:dyDescent="0.25">
      <c r="A2" t="s">
        <v>288</v>
      </c>
      <c r="B2">
        <v>9812345678</v>
      </c>
    </row>
    <row r="3" spans="1:20" x14ac:dyDescent="0.25">
      <c r="A3" t="s">
        <v>289</v>
      </c>
      <c r="B3">
        <v>9841122334</v>
      </c>
      <c r="J3" s="16" t="s">
        <v>298</v>
      </c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x14ac:dyDescent="0.25">
      <c r="A4" t="s">
        <v>290</v>
      </c>
      <c r="B4">
        <v>9860098765</v>
      </c>
      <c r="J4" s="16" t="s">
        <v>299</v>
      </c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25">
      <c r="A5" t="s">
        <v>291</v>
      </c>
      <c r="B5">
        <v>9801122000</v>
      </c>
    </row>
    <row r="6" spans="1:20" x14ac:dyDescent="0.25">
      <c r="A6" t="s">
        <v>292</v>
      </c>
      <c r="B6">
        <v>9823456789</v>
      </c>
    </row>
    <row r="7" spans="1:20" x14ac:dyDescent="0.25">
      <c r="A7" t="s">
        <v>293</v>
      </c>
      <c r="B7">
        <v>9811002200</v>
      </c>
    </row>
    <row r="8" spans="1:20" x14ac:dyDescent="0.25">
      <c r="A8" t="s">
        <v>294</v>
      </c>
      <c r="B8">
        <v>9845006677</v>
      </c>
    </row>
    <row r="9" spans="1:20" x14ac:dyDescent="0.25">
      <c r="A9" t="s">
        <v>295</v>
      </c>
      <c r="B9">
        <v>9804455666</v>
      </c>
    </row>
    <row r="10" spans="1:20" x14ac:dyDescent="0.25">
      <c r="A10" t="s">
        <v>296</v>
      </c>
      <c r="B10">
        <v>9867788990</v>
      </c>
    </row>
    <row r="11" spans="1:20" x14ac:dyDescent="0.25">
      <c r="A11" t="s">
        <v>297</v>
      </c>
      <c r="B11">
        <v>9876237289</v>
      </c>
    </row>
  </sheetData>
  <dataValidations count="2">
    <dataValidation type="textLength" allowBlank="1" showInputMessage="1" showErrorMessage="1" sqref="B1" xr:uid="{8A8B9932-5562-4A98-BA8C-018BBDD83669}">
      <formula1>0</formula1>
      <formula2>10</formula2>
    </dataValidation>
    <dataValidation type="textLength" allowBlank="1" showInputMessage="1" showErrorMessage="1" errorTitle="ERROR" error="PLEASE ENTER 10 DIGIT NUMBER_x000a__x000a_" sqref="B2:B11" xr:uid="{5DF2F9ED-6F50-44DE-8025-200390E32CC3}">
      <formula1>10</formula1>
      <formula2>10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D60D-FEF5-454B-B3A1-4DED2FE2FA00}">
  <dimension ref="A1:S35"/>
  <sheetViews>
    <sheetView workbookViewId="0">
      <selection activeCell="M10" sqref="M10"/>
    </sheetView>
  </sheetViews>
  <sheetFormatPr defaultRowHeight="15" x14ac:dyDescent="0.25"/>
  <sheetData>
    <row r="1" spans="1:19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85</v>
      </c>
      <c r="O1" s="8" t="s">
        <v>132</v>
      </c>
      <c r="P1" s="8"/>
      <c r="Q1" s="8"/>
      <c r="R1" s="8"/>
      <c r="S1" s="8"/>
    </row>
    <row r="2" spans="1:19" x14ac:dyDescent="0.25">
      <c r="A2" t="s">
        <v>86</v>
      </c>
      <c r="B2" t="s">
        <v>87</v>
      </c>
      <c r="C2" t="s">
        <v>80</v>
      </c>
      <c r="D2">
        <v>24.99</v>
      </c>
      <c r="E2">
        <v>150</v>
      </c>
      <c r="F2" t="s">
        <v>88</v>
      </c>
    </row>
    <row r="3" spans="1:19" ht="21" x14ac:dyDescent="0.35">
      <c r="A3" t="s">
        <v>89</v>
      </c>
      <c r="B3" t="s">
        <v>90</v>
      </c>
      <c r="C3" t="s">
        <v>78</v>
      </c>
      <c r="D3">
        <v>79.989999999999995</v>
      </c>
      <c r="E3">
        <v>85</v>
      </c>
      <c r="F3" t="s">
        <v>91</v>
      </c>
      <c r="N3" s="7"/>
      <c r="O3" s="7" t="s">
        <v>133</v>
      </c>
      <c r="P3" s="7"/>
      <c r="Q3" s="7"/>
    </row>
    <row r="4" spans="1:19" ht="21" x14ac:dyDescent="0.35">
      <c r="A4" t="s">
        <v>92</v>
      </c>
      <c r="B4" t="s">
        <v>93</v>
      </c>
      <c r="C4" t="s">
        <v>94</v>
      </c>
      <c r="D4">
        <v>19.5</v>
      </c>
      <c r="E4">
        <v>200</v>
      </c>
      <c r="F4" t="s">
        <v>95</v>
      </c>
      <c r="N4" s="7"/>
      <c r="O4" s="7" t="s">
        <v>134</v>
      </c>
      <c r="P4" s="7"/>
      <c r="Q4" s="7"/>
    </row>
    <row r="5" spans="1:19" ht="21" x14ac:dyDescent="0.35">
      <c r="A5" t="s">
        <v>96</v>
      </c>
      <c r="B5" t="s">
        <v>97</v>
      </c>
      <c r="C5" t="s">
        <v>23</v>
      </c>
      <c r="D5">
        <v>45</v>
      </c>
      <c r="E5">
        <v>120</v>
      </c>
      <c r="F5" t="s">
        <v>98</v>
      </c>
      <c r="N5" s="7"/>
      <c r="O5" s="7" t="s">
        <v>135</v>
      </c>
      <c r="P5" s="7"/>
      <c r="Q5" s="7"/>
    </row>
    <row r="6" spans="1:19" ht="21" x14ac:dyDescent="0.35">
      <c r="N6" s="7"/>
      <c r="O6" s="7" t="s">
        <v>136</v>
      </c>
      <c r="P6" s="7"/>
      <c r="Q6" s="7"/>
    </row>
    <row r="7" spans="1:19" ht="21" x14ac:dyDescent="0.35">
      <c r="N7" s="7"/>
      <c r="O7" s="7" t="s">
        <v>137</v>
      </c>
      <c r="P7" s="7"/>
      <c r="Q7" s="7"/>
    </row>
    <row r="9" spans="1:19" x14ac:dyDescent="0.25">
      <c r="A9" t="s">
        <v>99</v>
      </c>
      <c r="B9" t="s">
        <v>100</v>
      </c>
      <c r="C9" t="s">
        <v>78</v>
      </c>
      <c r="D9">
        <v>129.99</v>
      </c>
      <c r="E9">
        <v>90</v>
      </c>
      <c r="F9" t="s">
        <v>101</v>
      </c>
    </row>
    <row r="10" spans="1:19" x14ac:dyDescent="0.25">
      <c r="A10" t="s">
        <v>102</v>
      </c>
      <c r="B10" t="s">
        <v>103</v>
      </c>
      <c r="C10" t="s">
        <v>94</v>
      </c>
      <c r="D10">
        <v>5.75</v>
      </c>
      <c r="E10">
        <v>350</v>
      </c>
      <c r="F10" t="s">
        <v>104</v>
      </c>
    </row>
    <row r="11" spans="1:19" x14ac:dyDescent="0.25">
      <c r="A11" t="s">
        <v>105</v>
      </c>
      <c r="B11" t="s">
        <v>106</v>
      </c>
      <c r="C11" t="s">
        <v>80</v>
      </c>
      <c r="D11">
        <v>39.99</v>
      </c>
      <c r="E11">
        <v>70</v>
      </c>
      <c r="F11" t="s">
        <v>107</v>
      </c>
    </row>
    <row r="12" spans="1:19" x14ac:dyDescent="0.25">
      <c r="A12" t="s">
        <v>108</v>
      </c>
      <c r="B12" t="s">
        <v>109</v>
      </c>
      <c r="C12" t="s">
        <v>78</v>
      </c>
      <c r="D12">
        <v>55</v>
      </c>
      <c r="E12">
        <v>110</v>
      </c>
      <c r="F12" t="s">
        <v>110</v>
      </c>
    </row>
    <row r="13" spans="1:19" x14ac:dyDescent="0.25">
      <c r="A13" t="s">
        <v>111</v>
      </c>
      <c r="B13" t="s">
        <v>112</v>
      </c>
      <c r="C13" t="s">
        <v>23</v>
      </c>
      <c r="D13">
        <v>22</v>
      </c>
      <c r="E13">
        <v>250</v>
      </c>
      <c r="F13" t="s">
        <v>113</v>
      </c>
    </row>
    <row r="15" spans="1:19" ht="28.5" x14ac:dyDescent="0.45">
      <c r="D15" s="6"/>
      <c r="E15" s="6" t="s">
        <v>138</v>
      </c>
      <c r="F15" s="6"/>
      <c r="G15" s="6"/>
    </row>
    <row r="17" spans="1:6" x14ac:dyDescent="0.25">
      <c r="A17" t="s">
        <v>114</v>
      </c>
      <c r="B17" t="s">
        <v>115</v>
      </c>
      <c r="C17" t="s">
        <v>80</v>
      </c>
      <c r="D17">
        <v>18.989999999999998</v>
      </c>
      <c r="E17">
        <v>180</v>
      </c>
      <c r="F17" t="s">
        <v>116</v>
      </c>
    </row>
    <row r="18" spans="1:6" x14ac:dyDescent="0.25">
      <c r="A18" t="s">
        <v>117</v>
      </c>
      <c r="B18" t="s">
        <v>118</v>
      </c>
      <c r="C18" t="s">
        <v>94</v>
      </c>
      <c r="D18">
        <v>14.99</v>
      </c>
      <c r="E18">
        <v>100</v>
      </c>
      <c r="F18" t="s">
        <v>119</v>
      </c>
    </row>
    <row r="19" spans="1:6" x14ac:dyDescent="0.25">
      <c r="A19" t="s">
        <v>120</v>
      </c>
      <c r="B19" t="s">
        <v>121</v>
      </c>
      <c r="C19" t="s">
        <v>78</v>
      </c>
      <c r="D19">
        <v>68.5</v>
      </c>
      <c r="E19">
        <v>60</v>
      </c>
      <c r="F19" t="s">
        <v>122</v>
      </c>
    </row>
    <row r="20" spans="1:6" x14ac:dyDescent="0.25">
      <c r="A20" t="s">
        <v>123</v>
      </c>
      <c r="B20" t="s">
        <v>124</v>
      </c>
      <c r="C20" t="s">
        <v>23</v>
      </c>
      <c r="D20">
        <v>89.99</v>
      </c>
      <c r="E20">
        <v>45</v>
      </c>
      <c r="F20" t="s">
        <v>125</v>
      </c>
    </row>
    <row r="21" spans="1:6" x14ac:dyDescent="0.25">
      <c r="A21" t="s">
        <v>126</v>
      </c>
      <c r="B21" t="s">
        <v>127</v>
      </c>
      <c r="C21" t="s">
        <v>80</v>
      </c>
      <c r="D21">
        <v>12.99</v>
      </c>
      <c r="E21">
        <v>220</v>
      </c>
      <c r="F21" t="s">
        <v>128</v>
      </c>
    </row>
    <row r="22" spans="1:6" x14ac:dyDescent="0.25">
      <c r="A22" t="s">
        <v>129</v>
      </c>
      <c r="B22" t="s">
        <v>130</v>
      </c>
      <c r="C22" t="s">
        <v>78</v>
      </c>
      <c r="D22">
        <v>99</v>
      </c>
      <c r="E22">
        <v>75</v>
      </c>
      <c r="F22" t="s">
        <v>131</v>
      </c>
    </row>
    <row r="25" spans="1:6" x14ac:dyDescent="0.25">
      <c r="A25" t="s">
        <v>99</v>
      </c>
      <c r="B25" t="s">
        <v>100</v>
      </c>
      <c r="C25" t="s">
        <v>78</v>
      </c>
      <c r="D25">
        <v>129.99</v>
      </c>
      <c r="E25">
        <v>90</v>
      </c>
      <c r="F25" t="s">
        <v>101</v>
      </c>
    </row>
    <row r="26" spans="1:6" x14ac:dyDescent="0.25">
      <c r="A26" t="s">
        <v>102</v>
      </c>
      <c r="B26" t="s">
        <v>103</v>
      </c>
      <c r="C26" t="s">
        <v>94</v>
      </c>
      <c r="D26">
        <v>5.75</v>
      </c>
      <c r="E26">
        <v>350</v>
      </c>
      <c r="F26" t="s">
        <v>104</v>
      </c>
    </row>
    <row r="27" spans="1:6" x14ac:dyDescent="0.25">
      <c r="A27" t="s">
        <v>105</v>
      </c>
      <c r="B27" t="s">
        <v>106</v>
      </c>
      <c r="C27" t="s">
        <v>80</v>
      </c>
      <c r="D27">
        <v>39.99</v>
      </c>
      <c r="E27">
        <v>70</v>
      </c>
      <c r="F27" t="s">
        <v>107</v>
      </c>
    </row>
    <row r="28" spans="1:6" x14ac:dyDescent="0.25">
      <c r="A28" t="s">
        <v>108</v>
      </c>
      <c r="B28" t="s">
        <v>109</v>
      </c>
      <c r="C28" t="s">
        <v>78</v>
      </c>
      <c r="D28">
        <v>55</v>
      </c>
      <c r="E28">
        <v>110</v>
      </c>
      <c r="F28" t="s">
        <v>110</v>
      </c>
    </row>
    <row r="29" spans="1:6" x14ac:dyDescent="0.25">
      <c r="A29" t="s">
        <v>111</v>
      </c>
      <c r="B29" t="s">
        <v>112</v>
      </c>
      <c r="C29" t="s">
        <v>23</v>
      </c>
      <c r="D29">
        <v>22</v>
      </c>
      <c r="E29">
        <v>250</v>
      </c>
      <c r="F29" t="s">
        <v>113</v>
      </c>
    </row>
    <row r="30" spans="1:6" x14ac:dyDescent="0.25">
      <c r="A30" t="s">
        <v>114</v>
      </c>
      <c r="B30" t="s">
        <v>115</v>
      </c>
      <c r="C30" t="s">
        <v>80</v>
      </c>
      <c r="D30">
        <v>18.989999999999998</v>
      </c>
      <c r="E30">
        <v>180</v>
      </c>
      <c r="F30" t="s">
        <v>116</v>
      </c>
    </row>
    <row r="31" spans="1:6" x14ac:dyDescent="0.25">
      <c r="A31" t="s">
        <v>117</v>
      </c>
      <c r="B31" t="s">
        <v>118</v>
      </c>
      <c r="C31" t="s">
        <v>94</v>
      </c>
      <c r="D31">
        <v>14.99</v>
      </c>
      <c r="E31">
        <v>100</v>
      </c>
      <c r="F31" t="s">
        <v>119</v>
      </c>
    </row>
    <row r="32" spans="1:6" x14ac:dyDescent="0.25">
      <c r="A32" t="s">
        <v>120</v>
      </c>
      <c r="B32" t="s">
        <v>121</v>
      </c>
      <c r="C32" t="s">
        <v>78</v>
      </c>
      <c r="D32">
        <v>68.5</v>
      </c>
      <c r="E32">
        <v>60</v>
      </c>
      <c r="F32" t="s">
        <v>122</v>
      </c>
    </row>
    <row r="33" spans="1:6" x14ac:dyDescent="0.25">
      <c r="A33" t="s">
        <v>123</v>
      </c>
      <c r="B33" t="s">
        <v>124</v>
      </c>
      <c r="C33" t="s">
        <v>23</v>
      </c>
      <c r="D33">
        <v>89.99</v>
      </c>
      <c r="E33">
        <v>45</v>
      </c>
      <c r="F33" t="s">
        <v>125</v>
      </c>
    </row>
    <row r="34" spans="1:6" x14ac:dyDescent="0.25">
      <c r="A34" t="s">
        <v>126</v>
      </c>
      <c r="B34" t="s">
        <v>127</v>
      </c>
      <c r="C34" t="s">
        <v>80</v>
      </c>
      <c r="D34">
        <v>12.99</v>
      </c>
      <c r="E34">
        <v>220</v>
      </c>
      <c r="F34" t="s">
        <v>128</v>
      </c>
    </row>
    <row r="35" spans="1:6" x14ac:dyDescent="0.25">
      <c r="A35" t="s">
        <v>129</v>
      </c>
      <c r="B35" t="s">
        <v>130</v>
      </c>
      <c r="C35" t="s">
        <v>78</v>
      </c>
      <c r="D35">
        <v>99</v>
      </c>
      <c r="E35">
        <v>75</v>
      </c>
      <c r="F35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BBBD-FD90-43C3-A54B-997C27383BD7}">
  <dimension ref="A1:J29"/>
  <sheetViews>
    <sheetView zoomScaleNormal="85" workbookViewId="0">
      <selection activeCell="D30" sqref="D30"/>
    </sheetView>
  </sheetViews>
  <sheetFormatPr defaultRowHeight="15" x14ac:dyDescent="0.25"/>
  <cols>
    <col min="1" max="1" width="11.7109375" customWidth="1"/>
    <col min="2" max="3" width="27.42578125" customWidth="1"/>
    <col min="4" max="4" width="22.28515625" customWidth="1"/>
    <col min="5" max="5" width="11.28515625" customWidth="1"/>
    <col min="7" max="7" width="20.5703125" bestFit="1" customWidth="1"/>
    <col min="8" max="8" width="11.28515625" customWidth="1"/>
  </cols>
  <sheetData>
    <row r="1" spans="1:8" ht="32.25" thickBot="1" x14ac:dyDescent="0.3">
      <c r="A1" s="13" t="s">
        <v>139</v>
      </c>
      <c r="B1" s="13" t="s">
        <v>74</v>
      </c>
      <c r="C1" s="13" t="s">
        <v>205</v>
      </c>
      <c r="D1" s="13" t="s">
        <v>201</v>
      </c>
      <c r="E1" s="13" t="s">
        <v>75</v>
      </c>
      <c r="F1" s="13" t="s">
        <v>76</v>
      </c>
      <c r="G1" s="14" t="s">
        <v>200</v>
      </c>
    </row>
    <row r="2" spans="1:8" ht="15.75" thickBot="1" x14ac:dyDescent="0.3">
      <c r="A2" s="9" t="s">
        <v>140</v>
      </c>
      <c r="B2" s="9" t="s">
        <v>141</v>
      </c>
      <c r="C2" s="9" t="str">
        <f>TRIM(B2)</f>
        <v>Wireless Earbuds</v>
      </c>
      <c r="D2" s="9">
        <f>LEN(B2)</f>
        <v>16</v>
      </c>
      <c r="E2" s="9" t="s">
        <v>78</v>
      </c>
      <c r="F2" s="9" t="s">
        <v>84</v>
      </c>
      <c r="G2" s="11">
        <v>350</v>
      </c>
    </row>
    <row r="3" spans="1:8" ht="27" thickBot="1" x14ac:dyDescent="0.3">
      <c r="A3" s="9" t="s">
        <v>142</v>
      </c>
      <c r="B3" s="9" t="s">
        <v>118</v>
      </c>
      <c r="C3" s="9" t="str">
        <f t="shared" ref="C3:C20" si="0">TRIM(B3)</f>
        <v>Organic Coffee Beans</v>
      </c>
      <c r="D3" s="9">
        <f>LEN(B3)</f>
        <v>20</v>
      </c>
      <c r="E3" s="9" t="s">
        <v>20</v>
      </c>
      <c r="F3" s="9" t="s">
        <v>143</v>
      </c>
      <c r="G3" s="11">
        <v>243</v>
      </c>
      <c r="H3" s="10"/>
    </row>
    <row r="4" spans="1:8" ht="15.75" thickBot="1" x14ac:dyDescent="0.3">
      <c r="A4" s="9" t="s">
        <v>144</v>
      </c>
      <c r="B4" s="9" t="s">
        <v>145</v>
      </c>
      <c r="C4" s="9" t="str">
        <f t="shared" si="0"/>
        <v>Ergonomic Office Chair</v>
      </c>
      <c r="D4" s="9">
        <f t="shared" ref="D4:D21" si="1">LEN(B4)</f>
        <v>22</v>
      </c>
      <c r="E4" s="9" t="s">
        <v>82</v>
      </c>
      <c r="F4" s="9" t="s">
        <v>146</v>
      </c>
      <c r="G4" s="12">
        <v>351</v>
      </c>
    </row>
    <row r="5" spans="1:8" ht="27" thickBot="1" x14ac:dyDescent="0.3">
      <c r="A5" s="9" t="s">
        <v>147</v>
      </c>
      <c r="B5" s="9" t="s">
        <v>148</v>
      </c>
      <c r="C5" s="9" t="str">
        <f t="shared" si="0"/>
        <v>Stainless Steel Water Bottle</v>
      </c>
      <c r="D5" s="9">
        <f t="shared" si="1"/>
        <v>28</v>
      </c>
      <c r="E5" s="9" t="s">
        <v>80</v>
      </c>
      <c r="F5" s="9" t="s">
        <v>81</v>
      </c>
      <c r="G5" s="12">
        <v>352</v>
      </c>
    </row>
    <row r="6" spans="1:8" ht="27" thickBot="1" x14ac:dyDescent="0.3">
      <c r="A6" s="9" t="s">
        <v>149</v>
      </c>
      <c r="B6" s="9" t="s">
        <v>150</v>
      </c>
      <c r="C6" s="9" t="str">
        <f t="shared" si="0"/>
        <v>Yoga Mat</v>
      </c>
      <c r="D6" s="9">
        <f t="shared" si="1"/>
        <v>8</v>
      </c>
      <c r="E6" s="9" t="s">
        <v>151</v>
      </c>
      <c r="F6" s="9" t="s">
        <v>152</v>
      </c>
      <c r="G6" s="12">
        <v>353</v>
      </c>
    </row>
    <row r="7" spans="1:8" ht="15.75" thickBot="1" x14ac:dyDescent="0.3">
      <c r="A7" s="9" t="s">
        <v>153</v>
      </c>
      <c r="B7" s="9" t="s">
        <v>154</v>
      </c>
      <c r="C7" s="9" t="str">
        <f t="shared" si="0"/>
        <v>Portable Power Bank</v>
      </c>
      <c r="D7" s="9">
        <f t="shared" si="1"/>
        <v>19</v>
      </c>
      <c r="E7" s="9" t="s">
        <v>78</v>
      </c>
      <c r="F7" s="9" t="s">
        <v>155</v>
      </c>
      <c r="G7" s="12">
        <v>354</v>
      </c>
    </row>
    <row r="8" spans="1:8" ht="27" thickBot="1" x14ac:dyDescent="0.3">
      <c r="A8" s="9" t="s">
        <v>156</v>
      </c>
      <c r="B8" s="9" t="s">
        <v>157</v>
      </c>
      <c r="C8" s="9" t="str">
        <f t="shared" si="0"/>
        <v>Gourmet Dark Chocolate</v>
      </c>
      <c r="D8" s="9">
        <f t="shared" si="1"/>
        <v>22</v>
      </c>
      <c r="E8" s="9" t="s">
        <v>20</v>
      </c>
      <c r="F8" s="9" t="s">
        <v>158</v>
      </c>
      <c r="G8" s="12">
        <v>355</v>
      </c>
    </row>
    <row r="9" spans="1:8" ht="15.75" thickBot="1" x14ac:dyDescent="0.3">
      <c r="A9" s="9" t="s">
        <v>159</v>
      </c>
      <c r="B9" s="9" t="s">
        <v>160</v>
      </c>
      <c r="C9" s="9" t="str">
        <f t="shared" si="0"/>
        <v>Smart Table Lamp</v>
      </c>
      <c r="D9" s="9">
        <f t="shared" si="1"/>
        <v>16</v>
      </c>
      <c r="E9" s="9" t="s">
        <v>82</v>
      </c>
      <c r="F9" s="9" t="s">
        <v>161</v>
      </c>
      <c r="G9" s="12">
        <v>356</v>
      </c>
    </row>
    <row r="10" spans="1:8" ht="27" thickBot="1" x14ac:dyDescent="0.3">
      <c r="A10" s="9" t="s">
        <v>162</v>
      </c>
      <c r="B10" s="9" t="s">
        <v>163</v>
      </c>
      <c r="C10" s="9" t="str">
        <f t="shared" si="0"/>
        <v>Bamboo Cutting Board</v>
      </c>
      <c r="D10" s="9">
        <f t="shared" si="1"/>
        <v>20</v>
      </c>
      <c r="E10" s="9" t="s">
        <v>80</v>
      </c>
      <c r="F10" s="9" t="s">
        <v>164</v>
      </c>
      <c r="G10" s="12">
        <v>357</v>
      </c>
    </row>
    <row r="11" spans="1:8" ht="27" thickBot="1" x14ac:dyDescent="0.3">
      <c r="A11" s="9" t="s">
        <v>165</v>
      </c>
      <c r="B11" s="9" t="s">
        <v>166</v>
      </c>
      <c r="C11" s="9" t="str">
        <f t="shared" si="0"/>
        <v>Resistance Bands Set</v>
      </c>
      <c r="D11" s="9">
        <f t="shared" si="1"/>
        <v>20</v>
      </c>
      <c r="E11" s="9" t="s">
        <v>151</v>
      </c>
      <c r="F11" s="9" t="s">
        <v>167</v>
      </c>
      <c r="G11" s="12">
        <v>358</v>
      </c>
    </row>
    <row r="12" spans="1:8" ht="15.75" thickBot="1" x14ac:dyDescent="0.3">
      <c r="A12" s="9" t="s">
        <v>168</v>
      </c>
      <c r="B12" s="9" t="s">
        <v>169</v>
      </c>
      <c r="C12" s="9" t="str">
        <f t="shared" si="0"/>
        <v>Noise-Cancelling Headphones</v>
      </c>
      <c r="D12" s="9">
        <f t="shared" si="1"/>
        <v>27</v>
      </c>
      <c r="E12" s="9" t="s">
        <v>78</v>
      </c>
      <c r="F12" s="9" t="s">
        <v>170</v>
      </c>
      <c r="G12" s="12">
        <v>359</v>
      </c>
    </row>
    <row r="13" spans="1:8" ht="27" thickBot="1" x14ac:dyDescent="0.3">
      <c r="A13" s="9" t="s">
        <v>171</v>
      </c>
      <c r="B13" s="9" t="s">
        <v>172</v>
      </c>
      <c r="C13" s="9" t="str">
        <f t="shared" si="0"/>
        <v>Artisanal Bread Mix</v>
      </c>
      <c r="D13" s="9">
        <f t="shared" si="1"/>
        <v>19</v>
      </c>
      <c r="E13" s="9" t="s">
        <v>20</v>
      </c>
      <c r="F13" s="9" t="s">
        <v>173</v>
      </c>
      <c r="G13" s="12">
        <v>360</v>
      </c>
    </row>
    <row r="14" spans="1:8" ht="15.75" thickBot="1" x14ac:dyDescent="0.3">
      <c r="A14" s="9" t="s">
        <v>174</v>
      </c>
      <c r="B14" s="9" t="s">
        <v>175</v>
      </c>
      <c r="C14" s="9" t="str">
        <f t="shared" si="0"/>
        <v>Velvet Throw Pillow</v>
      </c>
      <c r="D14" s="9">
        <f t="shared" si="1"/>
        <v>19</v>
      </c>
      <c r="E14" s="9" t="s">
        <v>176</v>
      </c>
      <c r="F14" s="9" t="s">
        <v>177</v>
      </c>
      <c r="G14" s="12">
        <v>361</v>
      </c>
    </row>
    <row r="15" spans="1:8" ht="15.75" thickBot="1" x14ac:dyDescent="0.3">
      <c r="A15" s="9" t="s">
        <v>178</v>
      </c>
      <c r="B15" s="9" t="s">
        <v>179</v>
      </c>
      <c r="C15" s="9" t="str">
        <f t="shared" si="0"/>
        <v>Handcrafted Leather Wallet</v>
      </c>
      <c r="D15" s="9">
        <f t="shared" si="1"/>
        <v>26</v>
      </c>
      <c r="E15" s="9" t="s">
        <v>180</v>
      </c>
      <c r="F15" s="9" t="s">
        <v>181</v>
      </c>
      <c r="G15" s="12">
        <v>362</v>
      </c>
    </row>
    <row r="16" spans="1:8" ht="15.75" thickBot="1" x14ac:dyDescent="0.3">
      <c r="A16" s="9" t="s">
        <v>182</v>
      </c>
      <c r="B16" s="9" t="s">
        <v>183</v>
      </c>
      <c r="C16" s="9" t="str">
        <f t="shared" si="0"/>
        <v>Smart Home Hub</v>
      </c>
      <c r="D16" s="9">
        <f t="shared" si="1"/>
        <v>14</v>
      </c>
      <c r="E16" s="9" t="s">
        <v>78</v>
      </c>
      <c r="F16" s="9" t="s">
        <v>184</v>
      </c>
      <c r="G16" s="12">
        <v>363</v>
      </c>
    </row>
    <row r="17" spans="1:10" ht="27" thickBot="1" x14ac:dyDescent="0.3">
      <c r="A17" s="9" t="s">
        <v>185</v>
      </c>
      <c r="B17" s="9" t="s">
        <v>186</v>
      </c>
      <c r="C17" s="9" t="str">
        <f t="shared" si="0"/>
        <v>Fruit Infuser Bottle</v>
      </c>
      <c r="D17" s="9">
        <f t="shared" si="1"/>
        <v>20</v>
      </c>
      <c r="E17" s="9" t="s">
        <v>80</v>
      </c>
      <c r="F17" s="9" t="s">
        <v>187</v>
      </c>
      <c r="G17" s="12">
        <v>364</v>
      </c>
    </row>
    <row r="18" spans="1:10" ht="15.75" thickBot="1" x14ac:dyDescent="0.3">
      <c r="A18" s="9" t="s">
        <v>188</v>
      </c>
      <c r="B18" s="9" t="s">
        <v>189</v>
      </c>
      <c r="C18" s="9" t="str">
        <f t="shared" si="0"/>
        <v>Bluetooth Speaker</v>
      </c>
      <c r="D18" s="9">
        <f t="shared" si="1"/>
        <v>17</v>
      </c>
      <c r="E18" s="9" t="s">
        <v>78</v>
      </c>
      <c r="F18" s="9" t="s">
        <v>190</v>
      </c>
      <c r="G18" s="12">
        <v>365</v>
      </c>
    </row>
    <row r="19" spans="1:10" ht="27" thickBot="1" x14ac:dyDescent="0.3">
      <c r="A19" s="9" t="s">
        <v>191</v>
      </c>
      <c r="B19" s="9" t="s">
        <v>192</v>
      </c>
      <c r="C19" s="9" t="str">
        <f t="shared" si="0"/>
        <v>Herbal Tea Assortment</v>
      </c>
      <c r="D19" s="9">
        <f t="shared" si="1"/>
        <v>21</v>
      </c>
      <c r="E19" s="9" t="s">
        <v>20</v>
      </c>
      <c r="F19" s="9" t="s">
        <v>193</v>
      </c>
      <c r="G19" s="12">
        <v>366</v>
      </c>
    </row>
    <row r="20" spans="1:10" ht="15.75" thickBot="1" x14ac:dyDescent="0.3">
      <c r="A20" s="9" t="s">
        <v>194</v>
      </c>
      <c r="B20" s="9" t="s">
        <v>195</v>
      </c>
      <c r="C20" s="9" t="str">
        <f t="shared" si="0"/>
        <v>Classic Denim Jacket</v>
      </c>
      <c r="D20" s="9">
        <f t="shared" si="1"/>
        <v>20</v>
      </c>
      <c r="E20" s="9" t="s">
        <v>83</v>
      </c>
      <c r="F20" s="9" t="s">
        <v>79</v>
      </c>
      <c r="G20" s="12">
        <v>367</v>
      </c>
    </row>
    <row r="21" spans="1:10" ht="27" thickBot="1" x14ac:dyDescent="0.3">
      <c r="A21" s="9" t="s">
        <v>196</v>
      </c>
      <c r="B21" s="9" t="s">
        <v>197</v>
      </c>
      <c r="C21" s="9" t="str">
        <f>TRIM(B21)</f>
        <v>Desktop Monitor Stand</v>
      </c>
      <c r="D21" s="9">
        <f t="shared" si="1"/>
        <v>21</v>
      </c>
      <c r="E21" s="9" t="s">
        <v>198</v>
      </c>
      <c r="F21" s="9" t="s">
        <v>199</v>
      </c>
      <c r="G21" s="12">
        <v>368</v>
      </c>
    </row>
    <row r="22" spans="1:10" ht="15.75" thickBot="1" x14ac:dyDescent="0.3">
      <c r="G22" s="12"/>
    </row>
    <row r="27" spans="1:10" x14ac:dyDescent="0.25">
      <c r="F27" t="s">
        <v>202</v>
      </c>
      <c r="I27" s="16"/>
      <c r="J27" s="16"/>
    </row>
    <row r="28" spans="1:10" x14ac:dyDescent="0.25">
      <c r="F28" t="s">
        <v>203</v>
      </c>
    </row>
    <row r="29" spans="1:10" ht="21" x14ac:dyDescent="0.35">
      <c r="F29" t="s">
        <v>204</v>
      </c>
      <c r="G29" s="15"/>
      <c r="H29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349-83BC-4DF5-9D66-8A03CE5A6E5B}">
  <dimension ref="A1:T20"/>
  <sheetViews>
    <sheetView workbookViewId="0">
      <selection activeCell="K15" sqref="K15"/>
    </sheetView>
  </sheetViews>
  <sheetFormatPr defaultRowHeight="15" x14ac:dyDescent="0.25"/>
  <cols>
    <col min="1" max="1" width="15" customWidth="1"/>
  </cols>
  <sheetData>
    <row r="1" spans="1:20" x14ac:dyDescent="0.25">
      <c r="A1" t="s">
        <v>206</v>
      </c>
      <c r="B1" t="s">
        <v>207</v>
      </c>
      <c r="C1" t="s">
        <v>211</v>
      </c>
    </row>
    <row r="2" spans="1:20" x14ac:dyDescent="0.25">
      <c r="A2" t="str">
        <f>"car"&amp;CHAR(160)&amp;"bus"</f>
        <v>car bus</v>
      </c>
      <c r="B2">
        <f>LEN(A2)</f>
        <v>7</v>
      </c>
      <c r="C2" t="str">
        <f>SUBSTITUTE(A2,"c","r")</f>
        <v>rar bus</v>
      </c>
    </row>
    <row r="6" spans="1:20" x14ac:dyDescent="0.25">
      <c r="K6" t="s">
        <v>212</v>
      </c>
    </row>
    <row r="8" spans="1:20" x14ac:dyDescent="0.25">
      <c r="L8" t="s">
        <v>210</v>
      </c>
    </row>
    <row r="10" spans="1:20" ht="21" x14ac:dyDescent="0.35">
      <c r="G10" s="17"/>
      <c r="L10" s="19" t="s">
        <v>213</v>
      </c>
      <c r="M10" s="19"/>
      <c r="N10" s="19"/>
      <c r="O10" s="19"/>
      <c r="P10" s="19"/>
      <c r="Q10" s="19"/>
      <c r="R10" s="19"/>
      <c r="S10" s="19"/>
      <c r="T10" s="19"/>
    </row>
    <row r="11" spans="1:20" ht="19.5" x14ac:dyDescent="0.3">
      <c r="L11" s="19" t="s">
        <v>214</v>
      </c>
      <c r="M11" s="19" t="s">
        <v>215</v>
      </c>
      <c r="N11" s="19"/>
      <c r="O11" s="19"/>
      <c r="P11" s="19"/>
      <c r="Q11" s="19"/>
      <c r="R11" s="19"/>
      <c r="S11" s="19"/>
      <c r="T11" s="19"/>
    </row>
    <row r="15" spans="1:20" x14ac:dyDescent="0.25">
      <c r="L15" t="s">
        <v>209</v>
      </c>
    </row>
    <row r="20" spans="12:17" ht="21" x14ac:dyDescent="0.35">
      <c r="L20" s="7" t="s">
        <v>208</v>
      </c>
      <c r="M20" s="7"/>
      <c r="N20" s="7"/>
      <c r="O20" s="7"/>
      <c r="P20" s="7"/>
      <c r="Q2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4C32-C126-4AD0-B336-C3E404834C83}">
  <dimension ref="A1:R17"/>
  <sheetViews>
    <sheetView topLeftCell="B1" workbookViewId="0">
      <selection activeCell="I20" sqref="I20"/>
    </sheetView>
  </sheetViews>
  <sheetFormatPr defaultRowHeight="15" x14ac:dyDescent="0.25"/>
  <cols>
    <col min="2" max="2" width="13.42578125" bestFit="1" customWidth="1"/>
    <col min="3" max="3" width="20.85546875" bestFit="1" customWidth="1"/>
    <col min="4" max="4" width="20.85546875" customWidth="1"/>
  </cols>
  <sheetData>
    <row r="1" spans="1:18" x14ac:dyDescent="0.25">
      <c r="A1" s="20" t="s">
        <v>216</v>
      </c>
      <c r="B1" s="20" t="s">
        <v>217</v>
      </c>
      <c r="C1" s="21" t="s">
        <v>8</v>
      </c>
      <c r="D1" s="21" t="s">
        <v>250</v>
      </c>
      <c r="E1" s="20" t="s">
        <v>41</v>
      </c>
      <c r="F1" s="20" t="s">
        <v>218</v>
      </c>
    </row>
    <row r="2" spans="1:18" x14ac:dyDescent="0.25">
      <c r="A2" t="s">
        <v>219</v>
      </c>
      <c r="B2" t="s">
        <v>234</v>
      </c>
      <c r="C2" t="s">
        <v>251</v>
      </c>
      <c r="D2" t="str">
        <f>PROPER(C2)</f>
        <v xml:space="preserve">Electronics  </v>
      </c>
      <c r="E2">
        <v>29.99</v>
      </c>
      <c r="F2" t="s">
        <v>218</v>
      </c>
      <c r="G2" t="s">
        <v>272</v>
      </c>
    </row>
    <row r="3" spans="1:18" x14ac:dyDescent="0.25">
      <c r="A3" t="s">
        <v>220</v>
      </c>
      <c r="B3" t="s">
        <v>235</v>
      </c>
      <c r="C3" t="s">
        <v>252</v>
      </c>
      <c r="D3" t="str">
        <f t="shared" ref="D3:D16" si="0">PROPER(C3)</f>
        <v xml:space="preserve">Home &amp; Garden  </v>
      </c>
      <c r="E3">
        <v>145.5</v>
      </c>
      <c r="F3">
        <v>-3</v>
      </c>
      <c r="G3">
        <f t="shared" ref="G3:G17" si="1">IF(F3&lt;0,0,F3)</f>
        <v>0</v>
      </c>
    </row>
    <row r="4" spans="1:18" x14ac:dyDescent="0.25">
      <c r="A4" t="s">
        <v>221</v>
      </c>
      <c r="B4" t="s">
        <v>236</v>
      </c>
      <c r="C4" t="s">
        <v>253</v>
      </c>
      <c r="D4" t="str">
        <f t="shared" si="0"/>
        <v xml:space="preserve">Sports &amp; Outdoors  </v>
      </c>
      <c r="E4">
        <v>9.75</v>
      </c>
      <c r="F4">
        <v>45</v>
      </c>
      <c r="G4">
        <f t="shared" si="1"/>
        <v>45</v>
      </c>
      <c r="N4" t="s">
        <v>249</v>
      </c>
    </row>
    <row r="5" spans="1:18" ht="19.5" x14ac:dyDescent="0.3">
      <c r="A5" t="s">
        <v>222</v>
      </c>
      <c r="B5" t="s">
        <v>237</v>
      </c>
      <c r="C5" t="s">
        <v>254</v>
      </c>
      <c r="D5" t="str">
        <f t="shared" si="0"/>
        <v xml:space="preserve">Books &amp; Media  </v>
      </c>
      <c r="E5">
        <v>230</v>
      </c>
      <c r="F5">
        <v>2</v>
      </c>
      <c r="G5">
        <f t="shared" si="1"/>
        <v>2</v>
      </c>
      <c r="N5" s="19" t="s">
        <v>266</v>
      </c>
      <c r="O5" s="19"/>
      <c r="P5" s="19"/>
      <c r="Q5" s="19"/>
    </row>
    <row r="6" spans="1:18" ht="19.5" x14ac:dyDescent="0.3">
      <c r="A6" t="s">
        <v>223</v>
      </c>
      <c r="B6" t="s">
        <v>238</v>
      </c>
      <c r="C6" t="s">
        <v>255</v>
      </c>
      <c r="D6" t="str">
        <f t="shared" si="0"/>
        <v xml:space="preserve">Food &amp; Beverage  </v>
      </c>
      <c r="E6">
        <v>58.2</v>
      </c>
      <c r="F6">
        <v>5</v>
      </c>
      <c r="G6">
        <f t="shared" si="1"/>
        <v>5</v>
      </c>
      <c r="N6" s="18" t="s">
        <v>267</v>
      </c>
      <c r="O6" s="18"/>
      <c r="P6" s="18"/>
      <c r="Q6" s="18"/>
      <c r="R6" s="18"/>
    </row>
    <row r="7" spans="1:18" x14ac:dyDescent="0.25">
      <c r="A7" t="s">
        <v>224</v>
      </c>
      <c r="B7" t="s">
        <v>239</v>
      </c>
      <c r="C7" t="s">
        <v>256</v>
      </c>
      <c r="D7" t="str">
        <f t="shared" si="0"/>
        <v xml:space="preserve">Health &amp; Beauty  </v>
      </c>
      <c r="E7">
        <v>12.99</v>
      </c>
      <c r="F7">
        <v>-10</v>
      </c>
      <c r="G7">
        <f t="shared" si="1"/>
        <v>0</v>
      </c>
    </row>
    <row r="8" spans="1:18" x14ac:dyDescent="0.25">
      <c r="A8" t="s">
        <v>225</v>
      </c>
      <c r="B8" t="s">
        <v>240</v>
      </c>
      <c r="C8" t="s">
        <v>257</v>
      </c>
      <c r="D8" t="str">
        <f t="shared" si="0"/>
        <v xml:space="preserve">Toys &amp; Games  </v>
      </c>
      <c r="E8">
        <v>499.99</v>
      </c>
      <c r="F8">
        <v>12</v>
      </c>
      <c r="G8">
        <f t="shared" si="1"/>
        <v>12</v>
      </c>
    </row>
    <row r="9" spans="1:18" x14ac:dyDescent="0.25">
      <c r="A9" t="s">
        <v>226</v>
      </c>
      <c r="B9" t="s">
        <v>241</v>
      </c>
      <c r="C9" t="s">
        <v>258</v>
      </c>
      <c r="D9" t="str">
        <f t="shared" si="0"/>
        <v xml:space="preserve">Pet Supplies  </v>
      </c>
      <c r="E9">
        <v>75</v>
      </c>
      <c r="F9">
        <v>7</v>
      </c>
      <c r="G9">
        <f t="shared" si="1"/>
        <v>7</v>
      </c>
    </row>
    <row r="10" spans="1:18" x14ac:dyDescent="0.25">
      <c r="A10" t="s">
        <v>227</v>
      </c>
      <c r="B10" t="s">
        <v>242</v>
      </c>
      <c r="C10" t="s">
        <v>259</v>
      </c>
      <c r="D10" t="str">
        <f t="shared" si="0"/>
        <v xml:space="preserve">Apparel &amp; Accessories  </v>
      </c>
      <c r="E10">
        <v>3.49</v>
      </c>
      <c r="F10">
        <v>-1</v>
      </c>
      <c r="G10">
        <f t="shared" si="1"/>
        <v>0</v>
      </c>
    </row>
    <row r="11" spans="1:18" x14ac:dyDescent="0.25">
      <c r="A11" t="s">
        <v>228</v>
      </c>
      <c r="B11" t="s">
        <v>243</v>
      </c>
      <c r="C11" t="s">
        <v>260</v>
      </c>
      <c r="D11" t="str">
        <f t="shared" si="0"/>
        <v xml:space="preserve">Arts &amp; Crafts  </v>
      </c>
      <c r="E11">
        <v>89.9</v>
      </c>
      <c r="F11">
        <v>30</v>
      </c>
      <c r="G11">
        <f t="shared" si="1"/>
        <v>30</v>
      </c>
      <c r="N11" t="s">
        <v>268</v>
      </c>
    </row>
    <row r="12" spans="1:18" x14ac:dyDescent="0.25">
      <c r="A12" t="s">
        <v>229</v>
      </c>
      <c r="B12" t="s">
        <v>244</v>
      </c>
      <c r="C12" t="s">
        <v>261</v>
      </c>
      <c r="D12" t="str">
        <f t="shared" si="0"/>
        <v xml:space="preserve">Automotive  </v>
      </c>
      <c r="E12">
        <v>15.75</v>
      </c>
      <c r="F12">
        <v>4</v>
      </c>
      <c r="G12">
        <f t="shared" si="1"/>
        <v>4</v>
      </c>
      <c r="N12" t="s">
        <v>269</v>
      </c>
    </row>
    <row r="13" spans="1:18" x14ac:dyDescent="0.25">
      <c r="A13" t="s">
        <v>230</v>
      </c>
      <c r="B13" t="s">
        <v>245</v>
      </c>
      <c r="C13" t="s">
        <v>262</v>
      </c>
      <c r="D13" t="str">
        <f t="shared" si="0"/>
        <v xml:space="preserve">Office Supplies  </v>
      </c>
      <c r="E13">
        <v>249.99</v>
      </c>
      <c r="F13">
        <v>-7</v>
      </c>
      <c r="G13">
        <f t="shared" si="1"/>
        <v>0</v>
      </c>
      <c r="N13" t="s">
        <v>270</v>
      </c>
    </row>
    <row r="14" spans="1:18" x14ac:dyDescent="0.25">
      <c r="A14" t="s">
        <v>231</v>
      </c>
      <c r="B14" t="s">
        <v>246</v>
      </c>
      <c r="C14" t="s">
        <v>263</v>
      </c>
      <c r="D14" t="str">
        <f t="shared" si="0"/>
        <v xml:space="preserve">Baby &amp; Kids  </v>
      </c>
      <c r="E14">
        <v>6.8</v>
      </c>
      <c r="F14">
        <v>15</v>
      </c>
      <c r="G14">
        <f t="shared" si="1"/>
        <v>15</v>
      </c>
    </row>
    <row r="15" spans="1:18" x14ac:dyDescent="0.25">
      <c r="A15" t="s">
        <v>232</v>
      </c>
      <c r="B15" t="s">
        <v>247</v>
      </c>
      <c r="C15" t="s">
        <v>264</v>
      </c>
      <c r="D15" t="str">
        <f t="shared" si="0"/>
        <v xml:space="preserve">Jewelry &amp; Watches  </v>
      </c>
      <c r="E15">
        <v>120</v>
      </c>
      <c r="F15">
        <v>-2</v>
      </c>
      <c r="G15">
        <f t="shared" si="1"/>
        <v>0</v>
      </c>
      <c r="N15" s="16" t="s">
        <v>271</v>
      </c>
      <c r="O15" s="16"/>
      <c r="P15" s="16"/>
      <c r="Q15" s="16"/>
    </row>
    <row r="16" spans="1:18" x14ac:dyDescent="0.25">
      <c r="A16" t="s">
        <v>233</v>
      </c>
      <c r="B16" t="s">
        <v>248</v>
      </c>
      <c r="C16" t="s">
        <v>265</v>
      </c>
      <c r="D16" t="str">
        <f t="shared" si="0"/>
        <v>Furniture &amp; Decor</v>
      </c>
      <c r="E16">
        <v>39.950000000000003</v>
      </c>
      <c r="F16">
        <v>8</v>
      </c>
      <c r="G16">
        <f t="shared" si="1"/>
        <v>8</v>
      </c>
    </row>
    <row r="17" spans="6:7" x14ac:dyDescent="0.25">
      <c r="F17">
        <v>20</v>
      </c>
      <c r="G17">
        <f t="shared" si="1"/>
        <v>20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6E46-AC6D-4B06-85C6-910D164DE8E1}">
  <dimension ref="A1:N15"/>
  <sheetViews>
    <sheetView workbookViewId="0">
      <selection activeCell="Q10" sqref="Q10"/>
    </sheetView>
  </sheetViews>
  <sheetFormatPr defaultRowHeight="15" x14ac:dyDescent="0.25"/>
  <cols>
    <col min="1" max="1" width="14.5703125" customWidth="1"/>
    <col min="5" max="5" width="10.42578125" bestFit="1" customWidth="1"/>
  </cols>
  <sheetData>
    <row r="1" spans="1:14" x14ac:dyDescent="0.25">
      <c r="A1" t="s">
        <v>273</v>
      </c>
      <c r="B1" t="s">
        <v>277</v>
      </c>
      <c r="C1">
        <v>2323</v>
      </c>
      <c r="E1" t="s">
        <v>282</v>
      </c>
    </row>
    <row r="2" spans="1:14" x14ac:dyDescent="0.25">
      <c r="A2" t="s">
        <v>278</v>
      </c>
      <c r="B2" t="s">
        <v>277</v>
      </c>
      <c r="E2" s="22">
        <v>45886</v>
      </c>
      <c r="F2" t="str">
        <f>RIGHT(TEXT(E2,"dd/mm/yyyy"),4)</f>
        <v>2025</v>
      </c>
      <c r="M2" t="s">
        <v>274</v>
      </c>
    </row>
    <row r="3" spans="1:14" x14ac:dyDescent="0.25">
      <c r="A3" t="s">
        <v>279</v>
      </c>
      <c r="B3" t="s">
        <v>277</v>
      </c>
      <c r="M3" t="s">
        <v>275</v>
      </c>
    </row>
    <row r="4" spans="1:14" x14ac:dyDescent="0.25">
      <c r="A4" t="s">
        <v>280</v>
      </c>
      <c r="B4" t="s">
        <v>277</v>
      </c>
      <c r="M4" t="s">
        <v>276</v>
      </c>
    </row>
    <row r="8" spans="1:14" x14ac:dyDescent="0.25">
      <c r="N8" t="s">
        <v>281</v>
      </c>
    </row>
    <row r="11" spans="1:14" x14ac:dyDescent="0.25">
      <c r="M11" s="23" t="s">
        <v>283</v>
      </c>
    </row>
    <row r="12" spans="1:14" x14ac:dyDescent="0.25">
      <c r="M12" s="24"/>
    </row>
    <row r="13" spans="1:14" x14ac:dyDescent="0.25">
      <c r="M13" s="23" t="s">
        <v>284</v>
      </c>
    </row>
    <row r="14" spans="1:14" x14ac:dyDescent="0.25">
      <c r="M14" s="24"/>
    </row>
    <row r="15" spans="1:14" x14ac:dyDescent="0.25">
      <c r="M15" s="23" t="s">
        <v>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8B5384-899C-4076-8DAC-E731B1CF5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Remove_Duplicates</vt:lpstr>
      <vt:lpstr>RD_2</vt:lpstr>
      <vt:lpstr>data_validation</vt:lpstr>
      <vt:lpstr>remove blank rows</vt:lpstr>
      <vt:lpstr>remove space</vt:lpstr>
      <vt:lpstr>removespace-2</vt:lpstr>
      <vt:lpstr>data cleaning</vt:lpstr>
      <vt:lpstr>split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dangal</dc:creator>
  <cp:lastModifiedBy>rohan dangal</cp:lastModifiedBy>
  <dcterms:created xsi:type="dcterms:W3CDTF">2025-08-11T11:17:12Z</dcterms:created>
  <dcterms:modified xsi:type="dcterms:W3CDTF">2025-08-19T07:00:00Z</dcterms:modified>
</cp:coreProperties>
</file>